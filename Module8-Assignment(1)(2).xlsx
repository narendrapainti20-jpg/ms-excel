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6B922D7F-7666-453C-B521-5B44F5E27211}" xr6:coauthVersionLast="47" xr6:coauthVersionMax="47" xr10:uidLastSave="{00000000-0000-0000-0000-000000000000}"/>
  <bookViews>
    <workbookView xWindow="-108" yWindow="-108" windowWidth="23256" windowHeight="13176" activeTab="2" xr2:uid="{65295BC0-024E-468D-8AEC-82DEF29F3641}"/>
  </bookViews>
  <sheets>
    <sheet name="Data Table-UnS" sheetId="3" r:id="rId1"/>
    <sheet name="Data Table-S" sheetId="2" r:id="rId2"/>
    <sheet name="Data Validation-S" sheetId="4" r:id="rId3"/>
    <sheet name="Data Validation-UnS" sheetId="5" r:id="rId4"/>
    <sheet name="Source List" sheetId="6" r:id="rId5"/>
  </sheets>
  <definedNames>
    <definedName name="Furniture">'Source List'!$C$4:$C$7</definedName>
    <definedName name="Office_Supplies">'Source List'!$D$4:$D$12</definedName>
    <definedName name="Technology">'Source List'!$E$4:$E$7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B17" i="2"/>
  <c r="B16" i="2"/>
  <c r="B16" i="3"/>
  <c r="B14" i="3"/>
  <c r="B15" i="3"/>
  <c r="B13" i="3"/>
  <c r="B20" i="3" s="1"/>
  <c r="B13" i="2"/>
  <c r="B19" i="2"/>
  <c r="B14" i="2"/>
  <c r="B15" i="2"/>
  <c r="B20" i="2" s="1"/>
  <c r="M21" i="5"/>
  <c r="P21" i="5" s="1"/>
  <c r="Q21" i="5" s="1"/>
  <c r="L21" i="5"/>
  <c r="P20" i="5"/>
  <c r="Q20" i="5" s="1"/>
  <c r="M20" i="5"/>
  <c r="L20" i="5"/>
  <c r="M19" i="5"/>
  <c r="P19" i="5" s="1"/>
  <c r="Q19" i="5" s="1"/>
  <c r="L19" i="5"/>
  <c r="P18" i="5"/>
  <c r="Q18" i="5" s="1"/>
  <c r="M18" i="5"/>
  <c r="L18" i="5"/>
  <c r="M17" i="5"/>
  <c r="P17" i="5" s="1"/>
  <c r="Q17" i="5" s="1"/>
  <c r="L17" i="5"/>
  <c r="P16" i="5"/>
  <c r="Q16" i="5" s="1"/>
  <c r="M16" i="5"/>
  <c r="L16" i="5"/>
  <c r="M15" i="5"/>
  <c r="P15" i="5" s="1"/>
  <c r="Q15" i="5" s="1"/>
  <c r="L15" i="5"/>
  <c r="P14" i="5"/>
  <c r="Q14" i="5" s="1"/>
  <c r="M14" i="5"/>
  <c r="L14" i="5"/>
  <c r="M13" i="5"/>
  <c r="P13" i="5" s="1"/>
  <c r="Q13" i="5" s="1"/>
  <c r="L13" i="5"/>
  <c r="P12" i="5"/>
  <c r="Q12" i="5" s="1"/>
  <c r="M12" i="5"/>
  <c r="L12" i="5"/>
  <c r="M11" i="5"/>
  <c r="P11" i="5" s="1"/>
  <c r="Q11" i="5" s="1"/>
  <c r="L11" i="5"/>
  <c r="P10" i="5"/>
  <c r="M10" i="5"/>
  <c r="L10" i="5"/>
  <c r="M9" i="5"/>
  <c r="P9" i="5" s="1"/>
  <c r="Q9" i="5" s="1"/>
  <c r="L9" i="5"/>
  <c r="P8" i="5"/>
  <c r="Q8" i="5" s="1"/>
  <c r="M8" i="5"/>
  <c r="L8" i="5"/>
  <c r="M7" i="5"/>
  <c r="P7" i="5" s="1"/>
  <c r="Q7" i="5" s="1"/>
  <c r="L7" i="5"/>
  <c r="P6" i="5"/>
  <c r="Q6" i="5" s="1"/>
  <c r="M6" i="5"/>
  <c r="L6" i="5"/>
  <c r="M5" i="5"/>
  <c r="P5" i="5" s="1"/>
  <c r="Q5" i="5" s="1"/>
  <c r="L5" i="5"/>
  <c r="P4" i="5"/>
  <c r="Q4" i="5" s="1"/>
  <c r="M4" i="5"/>
  <c r="L4" i="5"/>
  <c r="M3" i="5"/>
  <c r="P3" i="5" s="1"/>
  <c r="Q3" i="5" s="1"/>
  <c r="L3" i="5"/>
  <c r="M21" i="4"/>
  <c r="P21" i="4" s="1"/>
  <c r="Q21" i="4" s="1"/>
  <c r="L21" i="4"/>
  <c r="M20" i="4"/>
  <c r="P20" i="4" s="1"/>
  <c r="Q20" i="4" s="1"/>
  <c r="L20" i="4"/>
  <c r="M19" i="4"/>
  <c r="P19" i="4" s="1"/>
  <c r="Q19" i="4" s="1"/>
  <c r="L19" i="4"/>
  <c r="M18" i="4"/>
  <c r="P18" i="4" s="1"/>
  <c r="Q18" i="4" s="1"/>
  <c r="L18" i="4"/>
  <c r="M17" i="4"/>
  <c r="P17" i="4" s="1"/>
  <c r="Q17" i="4" s="1"/>
  <c r="L17" i="4"/>
  <c r="M16" i="4"/>
  <c r="P16" i="4" s="1"/>
  <c r="Q16" i="4" s="1"/>
  <c r="L16" i="4"/>
  <c r="M15" i="4"/>
  <c r="P15" i="4" s="1"/>
  <c r="L15" i="4"/>
  <c r="M14" i="4"/>
  <c r="P14" i="4" s="1"/>
  <c r="Q14" i="4" s="1"/>
  <c r="L14" i="4"/>
  <c r="M13" i="4"/>
  <c r="P13" i="4" s="1"/>
  <c r="L13" i="4"/>
  <c r="M12" i="4"/>
  <c r="P12" i="4" s="1"/>
  <c r="Q12" i="4" s="1"/>
  <c r="L12" i="4"/>
  <c r="M11" i="4"/>
  <c r="P11" i="4" s="1"/>
  <c r="L11" i="4"/>
  <c r="M10" i="4"/>
  <c r="P10" i="4" s="1"/>
  <c r="Q10" i="4" s="1"/>
  <c r="L10" i="4"/>
  <c r="M9" i="4"/>
  <c r="P9" i="4" s="1"/>
  <c r="L9" i="4"/>
  <c r="P8" i="4"/>
  <c r="Q8" i="4" s="1"/>
  <c r="M8" i="4"/>
  <c r="L8" i="4"/>
  <c r="M7" i="4"/>
  <c r="P7" i="4" s="1"/>
  <c r="L7" i="4"/>
  <c r="P6" i="4"/>
  <c r="Q6" i="4" s="1"/>
  <c r="M6" i="4"/>
  <c r="L6" i="4"/>
  <c r="M5" i="4"/>
  <c r="P5" i="4" s="1"/>
  <c r="Q5" i="4" s="1"/>
  <c r="L5" i="4"/>
  <c r="M4" i="4"/>
  <c r="P4" i="4" s="1"/>
  <c r="Q4" i="4" s="1"/>
  <c r="L4" i="4"/>
  <c r="M3" i="4"/>
  <c r="P3" i="4" s="1"/>
  <c r="Q3" i="4" s="1"/>
  <c r="L3" i="4"/>
  <c r="Q10" i="5" l="1"/>
  <c r="B21" i="3"/>
  <c r="B22" i="3" s="1"/>
  <c r="E3" i="3" s="1"/>
  <c r="Q15" i="4"/>
  <c r="Q9" i="4"/>
  <c r="Q13" i="4"/>
  <c r="Q7" i="4"/>
  <c r="Q11" i="4"/>
  <c r="B21" i="2" l="1"/>
  <c r="B22" i="2" s="1"/>
  <c r="E3" i="2" s="1"/>
</calcChain>
</file>

<file path=xl/sharedStrings.xml><?xml version="1.0" encoding="utf-8"?>
<sst xmlns="http://schemas.openxmlformats.org/spreadsheetml/2006/main" count="377" uniqueCount="117">
  <si>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</si>
  <si>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</si>
  <si>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</si>
  <si>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</si>
  <si>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</si>
  <si>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</si>
  <si>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</si>
  <si>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</si>
  <si>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</si>
  <si>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</si>
  <si>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</si>
  <si>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</si>
  <si>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</si>
  <si>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</si>
  <si>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</si>
  <si>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</si>
  <si>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</si>
  <si>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</si>
  <si>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</si>
  <si>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</si>
  <si>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Order ID</t>
  </si>
  <si>
    <t>Order Date</t>
  </si>
  <si>
    <t>Ship Date</t>
  </si>
  <si>
    <t>Product Category</t>
  </si>
  <si>
    <t>Sub-Category</t>
  </si>
  <si>
    <t>Australia</t>
  </si>
  <si>
    <t>Order_Source</t>
  </si>
  <si>
    <t>Customer_ID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</si>
  <si>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</si>
  <si>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</si>
  <si>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</si>
  <si>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</si>
  <si>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</si>
  <si>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</si>
  <si>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</si>
  <si>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</si>
  <si>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</si>
  <si>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</si>
  <si>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GE-2018-15108</t>
  </si>
  <si>
    <t>Technology</t>
  </si>
  <si>
    <t>Phones</t>
  </si>
  <si>
    <t>Germany</t>
  </si>
  <si>
    <t>Flipkart</t>
  </si>
  <si>
    <t>CS-04692</t>
  </si>
  <si>
    <t>Critical</t>
  </si>
  <si>
    <t>AU-2018-97532</t>
  </si>
  <si>
    <t>Office_Supplies</t>
  </si>
  <si>
    <t>Chairs</t>
  </si>
  <si>
    <t>MG-21584</t>
  </si>
  <si>
    <t>Medium</t>
  </si>
  <si>
    <t>IN-2018-62406</t>
  </si>
  <si>
    <t>Accessories</t>
  </si>
  <si>
    <t>India</t>
  </si>
  <si>
    <t>Amazon</t>
  </si>
  <si>
    <t>ML-21811</t>
  </si>
  <si>
    <t>IN-2018-53340</t>
  </si>
  <si>
    <t>Furniture</t>
  </si>
  <si>
    <t>Bookcases</t>
  </si>
  <si>
    <t>RD-27712</t>
  </si>
  <si>
    <t>IN-2018-71010</t>
  </si>
  <si>
    <t>Snapdeal</t>
  </si>
  <si>
    <t>SN-28948</t>
  </si>
  <si>
    <t>IN-2018-19364</t>
  </si>
  <si>
    <t>Envelopes</t>
  </si>
  <si>
    <t>India Mart</t>
  </si>
  <si>
    <t>MM-22019</t>
  </si>
  <si>
    <t>GE-2018-38242</t>
  </si>
  <si>
    <t>Tables</t>
  </si>
  <si>
    <t>JO-16901</t>
  </si>
  <si>
    <t>AU-2018-43600</t>
  </si>
  <si>
    <t>Binders</t>
  </si>
  <si>
    <t>CS-08000</t>
  </si>
  <si>
    <t>CH-2018-73875</t>
  </si>
  <si>
    <t>Fasteners</t>
  </si>
  <si>
    <t>China</t>
  </si>
  <si>
    <t>JE-16318</t>
  </si>
  <si>
    <t>AU-2018-88091</t>
  </si>
  <si>
    <t>CM-06731</t>
  </si>
  <si>
    <t>High</t>
  </si>
  <si>
    <t>AU-2018-25092</t>
  </si>
  <si>
    <t>Furnishings</t>
  </si>
  <si>
    <t>VP-33803</t>
  </si>
  <si>
    <t>IN-2018-77633</t>
  </si>
  <si>
    <t>Referral</t>
  </si>
  <si>
    <t>JC-15796</t>
  </si>
  <si>
    <t>Low</t>
  </si>
  <si>
    <t>AU-2018-95331</t>
  </si>
  <si>
    <t>PK-26161</t>
  </si>
  <si>
    <t>GE-2018-28642</t>
  </si>
  <si>
    <t>Storage</t>
  </si>
  <si>
    <t>RC-27506</t>
  </si>
  <si>
    <t>IN-2018-87730</t>
  </si>
  <si>
    <t>Paper</t>
  </si>
  <si>
    <t>KC-18740</t>
  </si>
  <si>
    <t>CH-2018-64443</t>
  </si>
  <si>
    <t>AB-01473</t>
  </si>
  <si>
    <t>AU-2018-31068</t>
  </si>
  <si>
    <t>CL-06572</t>
  </si>
  <si>
    <t>CH-2018-30935</t>
  </si>
  <si>
    <t>DP-08734</t>
  </si>
  <si>
    <t>AU-2018-21093</t>
  </si>
  <si>
    <t>Website</t>
  </si>
  <si>
    <t>LD-20693</t>
  </si>
  <si>
    <t>Category</t>
  </si>
  <si>
    <t>Sub Category</t>
  </si>
  <si>
    <t>Supplies</t>
  </si>
  <si>
    <t>Art</t>
  </si>
  <si>
    <t>Machines</t>
  </si>
  <si>
    <t>Copiers</t>
  </si>
  <si>
    <t>Labels</t>
  </si>
  <si>
    <t>Appliances</t>
  </si>
  <si>
    <t>1st 2 Char from Country
3rd Char as "-"
Middle 4 represent year
8th Char as "-"
Last 5 Numbers</t>
  </si>
  <si>
    <t xml:space="preserve">Belong to Source List-
Category  </t>
  </si>
  <si>
    <t>Based on Category
dropdown of Sub-Category</t>
  </si>
  <si>
    <t>Country</t>
  </si>
  <si>
    <t>Should be 
always positive</t>
  </si>
  <si>
    <t>Date should
 be between
 FY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</si>
</sst>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₹-449]\ ###0.00"/>
    <numFmt numFmtId="165" formatCode="&quot;₹&quot;\ #,##0.00"/>
    <numFmt numFmtId="166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0" fontId="2" fillId="3" borderId="1" xfId="0" applyFont="1" applyFill="1" applyBorder="1"/>
    <xf numFmtId="0" fontId="2" fillId="4" borderId="1" xfId="1" applyNumberFormat="1" applyFont="1" applyFill="1" applyBorder="1"/>
    <xf numFmtId="165" fontId="2" fillId="4" borderId="1" xfId="0" applyNumberFormat="1" applyFont="1" applyFill="1" applyBorder="1"/>
    <xf numFmtId="165" fontId="2" fillId="4" borderId="0" xfId="0" applyNumberFormat="1" applyFont="1" applyFill="1"/>
    <xf numFmtId="164" fontId="2" fillId="3" borderId="1" xfId="0" applyNumberFormat="1" applyFont="1" applyFill="1" applyBorder="1"/>
    <xf numFmtId="0" fontId="0" fillId="5" borderId="2" xfId="0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166" fontId="2" fillId="4" borderId="1" xfId="0" applyNumberFormat="1" applyFont="1" applyFill="1" applyBorder="1"/>
    <xf numFmtId="166" fontId="0" fillId="0" borderId="1" xfId="0" applyNumberFormat="1" applyBorder="1"/>
    <xf numFmtId="166" fontId="0" fillId="0" borderId="0" xfId="0" applyNumberFormat="1"/>
    <xf numFmtId="166" fontId="3" fillId="0" borderId="1" xfId="0" applyNumberFormat="1" applyFont="1" applyBorder="1"/>
    <xf numFmtId="166" fontId="2" fillId="4" borderId="0" xfId="0" applyNumberFormat="1" applyFont="1" applyFill="1"/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898D-4550-4948-BCF0-EC9DCA5034B2}" name="Table13" displayName="Table13" ref="A2:R21" totalsRowShown="0">
  <autoFilter ref="A2:R21" xr:uid="{7D92898D-4550-4948-BCF0-EC9DCA5034B2}"/>
  <tableColumns count="18">
    <tableColumn id="1" xr3:uid="{41DE26CB-68DE-4528-863D-E4E7EF155B19}" name="Order ID"/>
    <tableColumn id="2" xr3:uid="{AAE6399B-839C-495E-9B7A-9DE6BA1B1F15}" name="Order Date" dataDxfId="3"/>
    <tableColumn id="3" xr3:uid="{BA853FD7-7063-47A9-93B9-7D368553E99F}" name="Ship Date" dataDxfId="2"/>
    <tableColumn id="4" xr3:uid="{94C4657C-D6BB-4917-80AF-1E72DE67890E}" name="Product Category"/>
    <tableColumn id="18" xr3:uid="{FBE05749-A8A3-4D79-8D8A-741F3BBB9512}" name="Sub-Category"/>
    <tableColumn id="19" xr3:uid="{D674AF26-9A95-4B31-A5D5-17974DDCF87C}" name="Country"/>
    <tableColumn id="5" xr3:uid="{10B2515B-B4E5-4BB8-B753-EAC0B1623FA4}" name="Order_Source"/>
    <tableColumn id="6" xr3:uid="{EADA8946-0745-474E-A813-27CA00F70919}" name="Customer_ID"/>
    <tableColumn id="8" xr3:uid="{1CD3B5B6-0E53-4C7F-8AD2-794D0E928432}" name="Price"/>
    <tableColumn id="9" xr3:uid="{B142E4A7-D7B9-4E91-BC86-FE1923DAF718}" name="Cost"/>
    <tableColumn id="10" xr3:uid="{E7918ABD-AAB5-45D9-8F07-A41E58AF293E}" name="Quantity"/>
    <tableColumn id="11" xr3:uid="{5084ECB7-DC23-4BBD-9B0C-68165F5FC8A4}" name="Total_Cost">
      <calculatedColumnFormula>J3*K3</calculatedColumnFormula>
    </tableColumn>
    <tableColumn id="12" xr3:uid="{82CF9F0D-82A2-45E6-BDC6-DBBE70C2C5C5}" name="Tota_Sales">
      <calculatedColumnFormula>I3*K3</calculatedColumnFormula>
    </tableColumn>
    <tableColumn id="13" xr3:uid="{5B192D05-77A7-446A-B8C4-77DE8196E8A3}" name="Discount"/>
    <tableColumn id="14" xr3:uid="{DDC13517-280C-47E3-8026-B46FA68F437A}" name="Shiping Cost"/>
    <tableColumn id="15" xr3:uid="{4C7D0045-12EB-44BA-A8F4-3315735BB208}" name="Tot_Sales_Amt">
      <calculatedColumnFormula>M3-(M3*N3)+O3</calculatedColumnFormula>
    </tableColumn>
    <tableColumn id="16" xr3:uid="{887C6225-E059-44BC-8462-6C597E843CF0}" name="Profit">
      <calculatedColumnFormula>P3-L3</calculatedColumnFormula>
    </tableColumn>
    <tableColumn id="17" xr3:uid="{7BCD636A-59C8-4643-8AEE-A08DC9275F35}" name="Order Prior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C9B4-23C2-432E-95EC-07AF7596BEAE}" name="Table134" displayName="Table134" ref="A2:R21" totalsRowShown="0">
  <autoFilter ref="A2:R21" xr:uid="{EA2FC9B4-23C2-432E-95EC-07AF7596BEAE}"/>
  <tableColumns count="18">
    <tableColumn id="1" xr3:uid="{3ECD50E5-B3A1-445E-BFDA-A0E72C32D38A}" name="Order ID"/>
    <tableColumn id="2" xr3:uid="{BF07A39B-35FC-4209-96BC-FEAC982BD040}" name="Order Date" dataDxfId="1"/>
    <tableColumn id="3" xr3:uid="{D6BD495D-A68A-4721-BDBC-C5F1CBA1F296}" name="Ship Date" dataDxfId="0"/>
    <tableColumn id="4" xr3:uid="{33509947-8646-4324-98E2-231E368F1E0C}" name="Product Category"/>
    <tableColumn id="18" xr3:uid="{2E220A5A-F5A5-4AD2-9BDE-1875296A41D6}" name="Sub-Category"/>
    <tableColumn id="19" xr3:uid="{26EAD1B7-3EDB-4284-ABB3-6D25A30D0A50}" name="Country"/>
    <tableColumn id="5" xr3:uid="{F963E752-162C-478E-9990-7C3F045F653D}" name="Order_Source"/>
    <tableColumn id="6" xr3:uid="{BE2175D3-7B19-4172-A8CD-A7575C62BC2E}" name="Customer_ID"/>
    <tableColumn id="8" xr3:uid="{2C6B48B4-DB71-4ABB-856F-3739624FAB7D}" name="Price"/>
    <tableColumn id="9" xr3:uid="{5574EAD1-7AF1-4156-A74B-952DD266DD1B}" name="Cost"/>
    <tableColumn id="10" xr3:uid="{5C562C76-821F-45DC-920C-9CD12A0768D5}" name="Quantity"/>
    <tableColumn id="11" xr3:uid="{3DBF1605-98E0-45AD-8744-75E695FB0C2F}" name="Total_Cost">
      <calculatedColumnFormula>J3*K3</calculatedColumnFormula>
    </tableColumn>
    <tableColumn id="12" xr3:uid="{77636F66-116D-42A8-A5D3-566B7F660BB7}" name="Tota_Sales">
      <calculatedColumnFormula>I3*K3</calculatedColumnFormula>
    </tableColumn>
    <tableColumn id="13" xr3:uid="{1DED167D-0F3B-4359-8BF4-03F288CF597A}" name="Discount"/>
    <tableColumn id="14" xr3:uid="{A895F72D-698C-4A5A-A81E-A96F96F6BA4A}" name="Shiping Cost"/>
    <tableColumn id="15" xr3:uid="{9D07FE1E-0A1E-47E0-AEB3-5879D9144899}" name="Tot_Sales_Amt">
      <calculatedColumnFormula>M3-(M3*N3)+O3</calculatedColumnFormula>
    </tableColumn>
    <tableColumn id="16" xr3:uid="{19687D63-019E-4DF5-BFA9-029CF82A5A3A}" name="Profit">
      <calculatedColumnFormula>P3-L3</calculatedColumnFormula>
    </tableColumn>
    <tableColumn id="17" xr3:uid="{D05472CB-9A2A-41B9-9A69-C95B5239EED5}" name="Order 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41D-29AC-4F94-B657-587409342149}">
  <dimension ref="A1:J22"/>
  <sheetViews>
    <sheetView zoomScale="110" zoomScaleNormal="110" workbookViewId="0">
      <selection activeCell="E3" sqref="E3:J16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0" t="s">
        <v>0</v>
      </c>
      <c r="B1" s="20"/>
    </row>
    <row r="3" spans="1:10" x14ac:dyDescent="0.3">
      <c r="A3" s="6" t="s">
        <v>1</v>
      </c>
      <c r="B3" s="10" t="s">
        <v>2</v>
      </c>
      <c r="E3" s="9">
        <f>B22</f>
        <v>412000</v>
      </c>
      <c r="F3" s="6">
        <v>30</v>
      </c>
      <c r="G3" s="6">
        <v>40</v>
      </c>
      <c r="H3" s="6">
        <v>50</v>
      </c>
      <c r="I3" s="6">
        <v>60</v>
      </c>
      <c r="J3" s="6">
        <v>70</v>
      </c>
    </row>
    <row r="4" spans="1:10" x14ac:dyDescent="0.3">
      <c r="A4" s="3" t="s">
        <v>4</v>
      </c>
      <c r="B4" s="4">
        <v>50000</v>
      </c>
      <c r="E4" s="6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6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6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6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6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6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6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7">
        <v>40</v>
      </c>
      <c r="E11" s="6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8">
        <v>20000</v>
      </c>
      <c r="E12" s="6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16">
        <f>B11*B5</f>
        <v>48000</v>
      </c>
      <c r="E13" s="6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16">
        <f>B4</f>
        <v>50000</v>
      </c>
      <c r="E14" s="6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16">
        <f>B11*B6</f>
        <v>120000</v>
      </c>
      <c r="E15" s="6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16">
        <f>B11*B7</f>
        <v>80000</v>
      </c>
      <c r="E16" s="6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16">
        <v>50000</v>
      </c>
    </row>
    <row r="19" spans="1:2" x14ac:dyDescent="0.3">
      <c r="A19" s="3" t="s">
        <v>17</v>
      </c>
      <c r="B19" s="16">
        <f>B12*B11</f>
        <v>800000</v>
      </c>
    </row>
    <row r="20" spans="1:2" x14ac:dyDescent="0.3">
      <c r="A20" s="3" t="s">
        <v>18</v>
      </c>
      <c r="B20" s="16">
        <f>SUM(B13:B17)</f>
        <v>348000</v>
      </c>
    </row>
    <row r="21" spans="1:2" x14ac:dyDescent="0.3">
      <c r="A21" s="3" t="s">
        <v>19</v>
      </c>
      <c r="B21" s="16">
        <f>B19*5%</f>
        <v>40000</v>
      </c>
    </row>
    <row r="22" spans="1:2" x14ac:dyDescent="0.3">
      <c r="A22" s="1" t="s">
        <v>3</v>
      </c>
      <c r="B22" s="18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A12-899A-4325-B6D9-30A284F139D2}">
  <dimension ref="A1:J22"/>
  <sheetViews>
    <sheetView zoomScale="120" zoomScaleNormal="120" workbookViewId="0">
      <selection activeCell="B22" sqref="B22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0" t="s">
        <v>0</v>
      </c>
      <c r="B1" s="20"/>
    </row>
    <row r="3" spans="1:10" x14ac:dyDescent="0.3">
      <c r="A3" s="6" t="s">
        <v>1</v>
      </c>
      <c r="B3" s="10" t="s">
        <v>2</v>
      </c>
      <c r="E3" s="19">
        <f>B22</f>
        <v>412000</v>
      </c>
      <c r="F3" s="6">
        <v>30</v>
      </c>
      <c r="G3" s="6">
        <v>40</v>
      </c>
      <c r="H3" s="6">
        <v>50</v>
      </c>
      <c r="I3" s="6">
        <v>60</v>
      </c>
      <c r="J3" s="6">
        <v>70</v>
      </c>
    </row>
    <row r="4" spans="1:10" x14ac:dyDescent="0.3">
      <c r="A4" s="3" t="s">
        <v>4</v>
      </c>
      <c r="B4" s="4">
        <v>50000</v>
      </c>
      <c r="E4" s="6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6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6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6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6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6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6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7">
        <v>40</v>
      </c>
      <c r="E11" s="6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15">
        <v>20000</v>
      </c>
      <c r="E12" s="6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16">
        <f>B11*B5</f>
        <v>48000</v>
      </c>
      <c r="E13" s="6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16">
        <f>B4</f>
        <v>50000</v>
      </c>
      <c r="E14" s="6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16">
        <f>B11*B6</f>
        <v>120000</v>
      </c>
      <c r="E15" s="6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16">
        <f>B11*B7</f>
        <v>80000</v>
      </c>
      <c r="E16" s="6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16">
        <f>B8</f>
        <v>50000</v>
      </c>
    </row>
    <row r="18" spans="1:2" x14ac:dyDescent="0.3">
      <c r="B18" s="17"/>
    </row>
    <row r="19" spans="1:2" x14ac:dyDescent="0.3">
      <c r="A19" s="3" t="s">
        <v>17</v>
      </c>
      <c r="B19" s="16">
        <f>B12*B11</f>
        <v>800000</v>
      </c>
    </row>
    <row r="20" spans="1:2" x14ac:dyDescent="0.3">
      <c r="A20" s="3" t="s">
        <v>18</v>
      </c>
      <c r="B20" s="16">
        <f>SUM(B13:B17)</f>
        <v>348000</v>
      </c>
    </row>
    <row r="21" spans="1:2" x14ac:dyDescent="0.3">
      <c r="A21" s="3" t="s">
        <v>19</v>
      </c>
      <c r="B21" s="16">
        <f>B19*5%</f>
        <v>40000</v>
      </c>
    </row>
    <row r="22" spans="1:2" x14ac:dyDescent="0.3">
      <c r="A22" s="1" t="s">
        <v>3</v>
      </c>
      <c r="B22" s="18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6CA-4082-4A46-BD9D-65CB3AEF0689}">
  <dimension ref="A1:R21"/>
  <sheetViews>
    <sheetView tabSelected="1" topLeftCell="A2" workbookViewId="0">
      <selection activeCell="B22" sqref="B22:B23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3" t="s">
        <v>111</v>
      </c>
      <c r="B1" s="13" t="s">
        <v>116</v>
      </c>
      <c r="D1" s="13" t="s">
        <v>112</v>
      </c>
      <c r="E1" s="13" t="s">
        <v>113</v>
      </c>
      <c r="K1" s="13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4">
        <v>43458</v>
      </c>
      <c r="C3" s="14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4">
        <v>43304</v>
      </c>
      <c r="C4" s="14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4">
        <v>43397</v>
      </c>
      <c r="C5" s="14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4">
        <v>43147</v>
      </c>
      <c r="C6" s="14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4">
        <v>43369</v>
      </c>
      <c r="C7" s="14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4">
        <v>43295</v>
      </c>
      <c r="C8" s="14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4">
        <v>43132</v>
      </c>
      <c r="C9" s="14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4">
        <v>43256</v>
      </c>
      <c r="C10" s="14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4">
        <v>43315</v>
      </c>
      <c r="C11" s="14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4">
        <v>43262</v>
      </c>
      <c r="C12" s="14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4">
        <v>43280</v>
      </c>
      <c r="C13" s="14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4">
        <v>43173</v>
      </c>
      <c r="C14" s="14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4">
        <v>43429</v>
      </c>
      <c r="C15" s="14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4">
        <v>43435</v>
      </c>
      <c r="C16" s="14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4">
        <v>43266</v>
      </c>
      <c r="C17" s="14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4">
        <v>43325</v>
      </c>
      <c r="C18" s="14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4">
        <v>43168</v>
      </c>
      <c r="C19" s="14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4">
        <v>43404</v>
      </c>
      <c r="C20" s="14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4">
        <v>43180</v>
      </c>
      <c r="C21" s="14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3">
    <dataValidation type="whole" operator="greaterThanOrEqual" allowBlank="1" showInputMessage="1" showErrorMessage="1" errorTitle="Qty Error" error="Qty cannot be text or -ve" promptTitle="Qty " prompt="Enter the Qty order" sqref="K3:K21" xr:uid="{6F0B33A5-C72B-46EC-9C6E-41A233BAD50D}">
      <formula1>1</formula1>
    </dataValidation>
    <dataValidation type="list" allowBlank="1" showInputMessage="1" showErrorMessage="1" sqref="E3:E21" xr:uid="{DCEB368A-2A60-4D2E-9F4F-578D301CC40A}">
      <formula1>INDIRECT(D3)</formula1>
    </dataValidation>
    <dataValidation type="date" operator="greaterThanOrEqual" allowBlank="1" showInputMessage="1" showErrorMessage="1" sqref="C3:C21" xr:uid="{4AAF7BE0-AC40-499B-84BB-A5758CBF3A59}">
      <formula1>B3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A60-0126-4CCC-A631-C892639E657F}">
  <dimension ref="A1:R21"/>
  <sheetViews>
    <sheetView topLeftCell="A11" workbookViewId="0">
      <selection activeCell="E20" sqref="E20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3" t="s">
        <v>111</v>
      </c>
      <c r="B1" s="13" t="s">
        <v>116</v>
      </c>
      <c r="D1" s="13" t="s">
        <v>112</v>
      </c>
      <c r="E1" s="13" t="s">
        <v>113</v>
      </c>
      <c r="K1" s="13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4">
        <v>43458</v>
      </c>
      <c r="C3" s="14">
        <v>43459</v>
      </c>
      <c r="D3" t="s">
        <v>46</v>
      </c>
      <c r="E3" t="s">
        <v>63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4">
        <v>43304</v>
      </c>
      <c r="C4" s="14">
        <v>43671</v>
      </c>
      <c r="D4" t="s">
        <v>46</v>
      </c>
      <c r="E4" t="s">
        <v>70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4">
        <v>43397</v>
      </c>
      <c r="C5" s="14">
        <v>43399</v>
      </c>
      <c r="D5" t="s">
        <v>39</v>
      </c>
      <c r="E5" t="s">
        <v>107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4">
        <v>43147</v>
      </c>
      <c r="C6" s="14">
        <v>43148</v>
      </c>
      <c r="D6" t="s">
        <v>56</v>
      </c>
      <c r="E6" t="s">
        <v>47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4">
        <v>43369</v>
      </c>
      <c r="C7" s="14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4">
        <v>43295</v>
      </c>
      <c r="C8" s="14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4">
        <v>43132</v>
      </c>
      <c r="C9" s="14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4">
        <v>43256</v>
      </c>
      <c r="C10" s="14">
        <v>43258</v>
      </c>
      <c r="D10" t="s">
        <v>46</v>
      </c>
      <c r="E10" t="s">
        <v>63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4">
        <v>43315</v>
      </c>
      <c r="C11" s="14">
        <v>43315</v>
      </c>
      <c r="D11" t="s">
        <v>56</v>
      </c>
      <c r="E11" t="s">
        <v>57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4">
        <v>43262</v>
      </c>
      <c r="C12" s="14">
        <v>43264</v>
      </c>
      <c r="D12" t="s">
        <v>56</v>
      </c>
      <c r="E12" t="s">
        <v>57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4">
        <v>43280</v>
      </c>
      <c r="C13" s="14">
        <v>43280</v>
      </c>
      <c r="D13" t="s">
        <v>56</v>
      </c>
      <c r="E13" t="s">
        <v>67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4">
        <v>43173</v>
      </c>
      <c r="C14" s="14">
        <v>43175</v>
      </c>
      <c r="D14" t="s">
        <v>46</v>
      </c>
      <c r="E14" t="s">
        <v>105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4">
        <v>43429</v>
      </c>
      <c r="C15" s="14">
        <v>43431</v>
      </c>
      <c r="D15" t="s">
        <v>39</v>
      </c>
      <c r="E15" t="s">
        <v>108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4">
        <v>43435</v>
      </c>
      <c r="C16" s="14">
        <v>43436</v>
      </c>
      <c r="D16" t="s">
        <v>46</v>
      </c>
      <c r="E16" t="s">
        <v>63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4">
        <v>43266</v>
      </c>
      <c r="C17" s="14">
        <v>43266</v>
      </c>
      <c r="D17" t="s">
        <v>46</v>
      </c>
      <c r="E17" t="s">
        <v>106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4">
        <v>43325</v>
      </c>
      <c r="C18" s="14">
        <v>43327</v>
      </c>
      <c r="D18" t="s">
        <v>56</v>
      </c>
      <c r="E18" t="s">
        <v>57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4">
        <v>43168</v>
      </c>
      <c r="C19" s="14">
        <v>43169</v>
      </c>
      <c r="D19" t="s">
        <v>56</v>
      </c>
      <c r="E19" t="s">
        <v>57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4">
        <v>43404</v>
      </c>
      <c r="C20" s="14">
        <v>43405</v>
      </c>
      <c r="D20" t="s">
        <v>56</v>
      </c>
      <c r="E20" t="s">
        <v>47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4">
        <v>43180</v>
      </c>
      <c r="C21" s="14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1">
    <dataValidation type="list" allowBlank="1" showInputMessage="1" showErrorMessage="1" sqref="E3:E21" xr:uid="{3379F93D-6710-461A-B500-0C90E25F77E4}">
      <formula1>INDIRECT(D3)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905344-12AD-4279-B362-51F3600ECA75}">
          <x14:formula1>
            <xm:f>'Source List'!$A$2:$A$4</xm:f>
          </x14:formula1>
          <xm:sqref>D3:D21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EA-8542-4FDF-B102-1FF9D02FB249}">
  <dimension ref="A1:E12"/>
  <sheetViews>
    <sheetView workbookViewId="0">
      <selection activeCell="E3" sqref="E3:E7"/>
    </sheetView>
  </sheetViews>
  <sheetFormatPr defaultRowHeight="14.4" x14ac:dyDescent="0.3"/>
  <cols>
    <col min="1" max="1" width="16.33203125" customWidth="1"/>
    <col min="3" max="5" width="13.44140625" customWidth="1"/>
  </cols>
  <sheetData>
    <row r="1" spans="1:5" x14ac:dyDescent="0.3">
      <c r="A1" s="11" t="s">
        <v>103</v>
      </c>
      <c r="C1" t="s">
        <v>104</v>
      </c>
    </row>
    <row r="2" spans="1:5" x14ac:dyDescent="0.3">
      <c r="A2" s="12" t="s">
        <v>56</v>
      </c>
    </row>
    <row r="3" spans="1:5" x14ac:dyDescent="0.3">
      <c r="A3" s="12" t="s">
        <v>46</v>
      </c>
      <c r="C3" s="11" t="s">
        <v>56</v>
      </c>
      <c r="D3" s="11" t="s">
        <v>46</v>
      </c>
      <c r="E3" s="11" t="s">
        <v>39</v>
      </c>
    </row>
    <row r="4" spans="1:5" x14ac:dyDescent="0.3">
      <c r="A4" s="12" t="s">
        <v>39</v>
      </c>
      <c r="C4" s="12" t="s">
        <v>80</v>
      </c>
      <c r="D4" s="12" t="s">
        <v>105</v>
      </c>
      <c r="E4" s="12" t="s">
        <v>40</v>
      </c>
    </row>
    <row r="5" spans="1:5" x14ac:dyDescent="0.3">
      <c r="C5" s="12" t="s">
        <v>47</v>
      </c>
      <c r="D5" s="12" t="s">
        <v>63</v>
      </c>
      <c r="E5" s="12" t="s">
        <v>51</v>
      </c>
    </row>
    <row r="6" spans="1:5" x14ac:dyDescent="0.3">
      <c r="C6" s="12" t="s">
        <v>57</v>
      </c>
      <c r="D6" s="12" t="s">
        <v>106</v>
      </c>
      <c r="E6" s="12" t="s">
        <v>107</v>
      </c>
    </row>
    <row r="7" spans="1:5" x14ac:dyDescent="0.3">
      <c r="C7" s="12" t="s">
        <v>67</v>
      </c>
      <c r="D7" s="12" t="s">
        <v>70</v>
      </c>
      <c r="E7" s="12" t="s">
        <v>108</v>
      </c>
    </row>
    <row r="8" spans="1:5" x14ac:dyDescent="0.3">
      <c r="D8" s="12" t="s">
        <v>73</v>
      </c>
    </row>
    <row r="9" spans="1:5" x14ac:dyDescent="0.3">
      <c r="D9" s="12" t="s">
        <v>92</v>
      </c>
    </row>
    <row r="10" spans="1:5" x14ac:dyDescent="0.3">
      <c r="D10" s="12" t="s">
        <v>89</v>
      </c>
    </row>
    <row r="11" spans="1:5" x14ac:dyDescent="0.3">
      <c r="D11" s="12" t="s">
        <v>109</v>
      </c>
    </row>
    <row r="12" spans="1:5" x14ac:dyDescent="0.3">
      <c r="D12" s="1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 Table-UnS</vt:lpstr>
      <vt:lpstr>Data Table-S</vt:lpstr>
      <vt:lpstr>Data Validation-S</vt:lpstr>
      <vt:lpstr>Data Validation-UnS</vt:lpstr>
      <vt:lpstr>Source List</vt:lpstr>
      <vt:lpstr>Furniture</vt:lpstr>
      <vt:lpstr>Office_Supplies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2023-07-17T16:22:45Z</dcterms:created>
  <dcterms:modified xsi:type="dcterms:W3CDTF">2026-09-28T09:17:07Z</dcterms:modified>
</cp:coreProperties>
</file>