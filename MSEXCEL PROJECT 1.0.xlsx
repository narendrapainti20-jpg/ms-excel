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1" documentId="8_{61F5328C-D0A4-461C-8E07-BDC16C73A54B}" xr6:coauthVersionLast="47" xr6:coauthVersionMax="47" xr10:uidLastSave="{C5A446DB-92FE-4718-BE8B-0EEF73EEE11C}"/>
  <bookViews>
    <workbookView xWindow="-108" yWindow="-108" windowWidth="23256" windowHeight="13176" firstSheet="12" activeTab="13" xr2:uid="{BD29FC6D-B95C-48BD-BC54-A05E9075D870}"/>
  </bookViews>
  <sheets>
    <sheet name="Arithmetic Operations " sheetId="1" r:id="rId1"/>
    <sheet name="Transpose vs. TRANSPOSE Formula" sheetId="2" r:id="rId2"/>
    <sheet name=" COUNTBLANK, COUNT &amp; COUNTA" sheetId="3" r:id="rId3"/>
    <sheet name="Calculations using Status Bar" sheetId="4" r:id="rId4"/>
    <sheet name="Calculating Growth Percentage Y" sheetId="5" r:id="rId5"/>
    <sheet name=" FORMATINGS CELLS AND NUMBES" sheetId="6" r:id="rId6"/>
    <sheet name="Wrap Text and Alignment" sheetId="7" r:id="rId7"/>
    <sheet name="Sorting Numbers and Dates" sheetId="8" r:id="rId8"/>
    <sheet name="SORTING USING COLORS" sheetId="9" r:id="rId9"/>
    <sheet name="Dates in Excel and Calculating " sheetId="10" r:id="rId10"/>
    <sheet name=" Logical Functions" sheetId="11" r:id="rId11"/>
    <sheet name="Practical Data Cleaning" sheetId="12" r:id="rId12"/>
    <sheet name="Pivot Table A-2-ZDate_x0009_Product_x0009_" sheetId="13" r:id="rId13"/>
    <sheet name="Conditional Aggregation" sheetId="14" r:id="rId14"/>
    <sheet name="Conditional Formatting" sheetId="16" r:id="rId15"/>
  </sheets>
  <definedNames>
    <definedName name="_xlnm._FilterDatabase" localSheetId="11" hidden="1">'Practical Data Cleaning'!$A$4:$D$9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4" l="1"/>
  <c r="H10" i="14"/>
  <c r="H11" i="14"/>
  <c r="H3" i="14"/>
  <c r="H4" i="14"/>
  <c r="H5" i="14"/>
  <c r="H6" i="14"/>
  <c r="H7" i="14"/>
  <c r="H9" i="14"/>
  <c r="H2" i="14"/>
  <c r="I11" i="14"/>
  <c r="I3" i="14"/>
  <c r="I4" i="14"/>
  <c r="I5" i="14"/>
  <c r="I6" i="14"/>
  <c r="I7" i="14"/>
  <c r="I8" i="14"/>
  <c r="I9" i="14"/>
  <c r="I10" i="14"/>
  <c r="I2" i="14"/>
  <c r="E7" i="14"/>
  <c r="E3" i="14"/>
  <c r="E4" i="14"/>
  <c r="E5" i="14"/>
  <c r="E6" i="14"/>
  <c r="E8" i="14"/>
  <c r="E9" i="14"/>
  <c r="E10" i="14"/>
  <c r="E11" i="14"/>
  <c r="E2" i="14"/>
  <c r="G11" i="14"/>
  <c r="G9" i="14"/>
  <c r="G7" i="14"/>
  <c r="G5" i="14"/>
  <c r="G3" i="14"/>
  <c r="G4" i="14"/>
  <c r="G6" i="14"/>
  <c r="G8" i="14"/>
  <c r="G10" i="14"/>
  <c r="G2" i="14"/>
  <c r="F2" i="14"/>
  <c r="F3" i="14"/>
  <c r="F4" i="14"/>
  <c r="F5" i="14"/>
  <c r="F6" i="14"/>
  <c r="F7" i="14"/>
  <c r="F8" i="14"/>
  <c r="F9" i="14"/>
  <c r="F10" i="14"/>
  <c r="F11" i="14"/>
  <c r="I2" i="11"/>
  <c r="I3" i="11"/>
  <c r="I4" i="11"/>
  <c r="I5" i="11"/>
  <c r="I6" i="11"/>
  <c r="H3" i="11"/>
  <c r="H4" i="11"/>
  <c r="H5" i="11"/>
  <c r="H6" i="11"/>
  <c r="H2" i="11"/>
  <c r="G3" i="11"/>
  <c r="G4" i="11"/>
  <c r="G5" i="11"/>
  <c r="G6" i="11"/>
  <c r="G2" i="11"/>
  <c r="F3" i="11"/>
  <c r="F4" i="11"/>
  <c r="F5" i="11"/>
  <c r="F6" i="11"/>
  <c r="F2" i="11"/>
  <c r="E3" i="11"/>
  <c r="E4" i="11"/>
  <c r="E5" i="11"/>
  <c r="E6" i="11"/>
  <c r="E2" i="11"/>
  <c r="B9" i="10"/>
  <c r="B8" i="10"/>
  <c r="D4" i="10"/>
  <c r="D5" i="10"/>
  <c r="D3" i="10"/>
  <c r="D2" i="10"/>
  <c r="I7" i="5"/>
  <c r="E9" i="5"/>
  <c r="I4" i="5"/>
  <c r="I5" i="5"/>
  <c r="I6" i="5"/>
  <c r="I3" i="5"/>
  <c r="C5" i="5"/>
  <c r="C4" i="5"/>
  <c r="C6" i="5"/>
  <c r="C3" i="5"/>
  <c r="D8" i="4"/>
  <c r="D7" i="4"/>
  <c r="D6" i="4"/>
  <c r="D5" i="4"/>
  <c r="D4" i="4"/>
  <c r="E12" i="3"/>
  <c r="E13" i="3"/>
  <c r="E14" i="3"/>
  <c r="E5" i="3"/>
  <c r="E4" i="3"/>
  <c r="E3" i="3"/>
  <c r="D5" i="2" a="1"/>
  <c r="D5" i="2" s="1"/>
  <c r="E9" i="1"/>
  <c r="E8" i="1"/>
  <c r="E7" i="1"/>
  <c r="E6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<sst xmlns="http://schemas.openxmlformats.org/spreadsheetml/2006/main" count="355" uniqueCount="137">
  <si>
    <t>January</t>
  </si>
  <si>
    <t>March</t>
  </si>
  <si>
    <t>April</t>
  </si>
  <si>
    <t>May</t>
  </si>
  <si>
    <t>June</t>
  </si>
  <si>
    <t>February</t>
  </si>
  <si>
    <t>July</t>
  </si>
  <si>
    <t>August</t>
  </si>
  <si>
    <t>September</t>
  </si>
  <si>
    <t>October</t>
  </si>
  <si>
    <t>November</t>
  </si>
  <si>
    <t>December</t>
  </si>
  <si>
    <t>Month</t>
  </si>
  <si>
    <t>Sales (₹)</t>
  </si>
  <si>
    <t>Analysis</t>
  </si>
  <si>
    <t>Formula</t>
  </si>
  <si>
    <t>Total Sales</t>
  </si>
  <si>
    <t>Highest Sales</t>
  </si>
  <si>
    <t>Lowest sales</t>
  </si>
  <si>
    <t>2nd Lowest sales</t>
  </si>
  <si>
    <t>3rd Highest sales</t>
  </si>
  <si>
    <t>ANALYSIS TABLE</t>
  </si>
  <si>
    <t>Median sales</t>
  </si>
  <si>
    <t>Sales</t>
  </si>
  <si>
    <r>
      <t>Automatic updates</t>
    </r>
    <r>
      <rPr>
        <sz val="10"/>
        <color rgb="FFFFFFFF"/>
        <rFont val="Segoe UI"/>
        <family val="2"/>
      </rPr>
      <t> when the original data changes.</t>
    </r>
  </si>
  <si>
    <r>
      <t>Less manual work</t>
    </r>
    <r>
      <rPr>
        <sz val="10"/>
        <color rgb="FFFFFFFF"/>
        <rFont val="Segoe UI"/>
        <family val="2"/>
      </rPr>
      <t>, especially with many rows.</t>
    </r>
  </si>
  <si>
    <r>
      <t>Fewer copying errors</t>
    </r>
    <r>
      <rPr>
        <sz val="10"/>
        <color rgb="FFFFFFFF"/>
        <rFont val="Segoe UI"/>
        <family val="2"/>
      </rPr>
      <t>.</t>
    </r>
  </si>
  <si>
    <r>
      <t>Maintains a </t>
    </r>
    <r>
      <rPr>
        <sz val="10"/>
        <color rgb="FFFFFFFF"/>
        <rFont val="Segoe UI"/>
        <family val="2"/>
      </rPr>
      <t>formula-based connection</t>
    </r>
    <r>
      <rPr>
        <sz val="10"/>
        <color rgb="FFFFFFFF"/>
        <rFont val="Segoe UI"/>
        <family val="2"/>
      </rPr>
      <t> to the original data.</t>
    </r>
  </si>
  <si>
    <t>Works particularly well with Excel Tables and dynamic arrays.</t>
  </si>
  <si>
    <t>Product Name</t>
  </si>
  <si>
    <t>Laptop</t>
  </si>
  <si>
    <t>Mouse</t>
  </si>
  <si>
    <t>Keyboard</t>
  </si>
  <si>
    <t>Monitor</t>
  </si>
  <si>
    <t>Printer</t>
  </si>
  <si>
    <t>Headphones</t>
  </si>
  <si>
    <t>Webcam</t>
  </si>
  <si>
    <t>Speaker</t>
  </si>
  <si>
    <t>USB Drive</t>
  </si>
  <si>
    <t>COUNT</t>
  </si>
  <si>
    <t>COUNTA</t>
  </si>
  <si>
    <t>COUNTBLANK</t>
  </si>
  <si>
    <t>Function</t>
  </si>
  <si>
    <t>Result</t>
  </si>
  <si>
    <t>What it counts</t>
  </si>
  <si>
    <t>Numerical values</t>
  </si>
  <si>
    <t>All non-blank cells</t>
  </si>
  <si>
    <t>Blank cells</t>
  </si>
  <si>
    <t>Product</t>
  </si>
  <si>
    <t>SUM</t>
  </si>
  <si>
    <t>AVERAGE</t>
  </si>
  <si>
    <t>MINIMUM</t>
  </si>
  <si>
    <t>MAXIMUM</t>
  </si>
  <si>
    <t>Year</t>
  </si>
  <si>
    <t>Revenue ($)</t>
  </si>
  <si>
    <t>YoY Growth</t>
  </si>
  <si>
    <t>—</t>
  </si>
  <si>
    <t>CAGR</t>
  </si>
  <si>
    <t>Revenue</t>
  </si>
  <si>
    <t>$100,000</t>
  </si>
  <si>
    <t>$120,000</t>
  </si>
  <si>
    <t>$135,000</t>
  </si>
  <si>
    <t>$150,000</t>
  </si>
  <si>
    <t>$180,000</t>
  </si>
  <si>
    <t>CAGR 2021–2025</t>
  </si>
  <si>
    <t>Salesperson</t>
  </si>
  <si>
    <t>Growth %</t>
  </si>
  <si>
    <t>Ravi</t>
  </si>
  <si>
    <t>Priya</t>
  </si>
  <si>
    <t>Amit</t>
  </si>
  <si>
    <t>Sneha</t>
  </si>
  <si>
    <t>Kiran</t>
  </si>
  <si>
    <t>Product Description</t>
  </si>
  <si>
    <t>High-performance laptop suitable for office work, online classes, programming, and entertainment.</t>
  </si>
  <si>
    <t>Smartphone</t>
  </si>
  <si>
    <t>Modern smartphone with a high-resolution camera, long-lasting battery, and fast processor.</t>
  </si>
  <si>
    <t>Wireless headphones providing clear sound quality, comfortable ear cushions, and long battery life.</t>
  </si>
  <si>
    <t>Multi-function printer designed for fast, high-quality printing, scanning, and copying.</t>
  </si>
  <si>
    <t>Sales Date</t>
  </si>
  <si>
    <t>Sales Amount</t>
  </si>
  <si>
    <t>Performance</t>
  </si>
  <si>
    <t>Medium</t>
  </si>
  <si>
    <t>Low</t>
  </si>
  <si>
    <t>High</t>
  </si>
  <si>
    <t>Event</t>
  </si>
  <si>
    <t>Start Date &amp; Time</t>
  </si>
  <si>
    <t>End Date &amp; Time</t>
  </si>
  <si>
    <t>Duration</t>
  </si>
  <si>
    <t>Meeting</t>
  </si>
  <si>
    <t>Workshop</t>
  </si>
  <si>
    <t>Project</t>
  </si>
  <si>
    <t>Training</t>
  </si>
  <si>
    <t>TODAY</t>
  </si>
  <si>
    <t>DATE</t>
  </si>
  <si>
    <t>Target</t>
  </si>
  <si>
    <t>AND</t>
  </si>
  <si>
    <t>OR</t>
  </si>
  <si>
    <t>IF and AND</t>
  </si>
  <si>
    <t>IFERROR</t>
  </si>
  <si>
    <t>ID</t>
  </si>
  <si>
    <t>Name</t>
  </si>
  <si>
    <t>Status</t>
  </si>
  <si>
    <t>Ravi Kumar</t>
  </si>
  <si>
    <t>Valid</t>
  </si>
  <si>
    <t>Priya Sharma</t>
  </si>
  <si>
    <t>Amit Singh</t>
  </si>
  <si>
    <t>Sneha Rao</t>
  </si>
  <si>
    <t>Error</t>
  </si>
  <si>
    <t>Kiran Das</t>
  </si>
  <si>
    <t>Date</t>
  </si>
  <si>
    <t>Category</t>
  </si>
  <si>
    <t>Electronics</t>
  </si>
  <si>
    <t>Chair</t>
  </si>
  <si>
    <t>Furniture</t>
  </si>
  <si>
    <t>Desk</t>
  </si>
  <si>
    <t>Row Labels</t>
  </si>
  <si>
    <t>Grand Total</t>
  </si>
  <si>
    <t>Column Labels</t>
  </si>
  <si>
    <t>Sum of Sales Amount</t>
  </si>
  <si>
    <t>(All)</t>
  </si>
  <si>
    <t>Jan</t>
  </si>
  <si>
    <t>Mar</t>
  </si>
  <si>
    <t>Feb</t>
  </si>
  <si>
    <t>Apr</t>
  </si>
  <si>
    <t>Region</t>
  </si>
  <si>
    <t>North</t>
  </si>
  <si>
    <t>South</t>
  </si>
  <si>
    <t>East</t>
  </si>
  <si>
    <t>COUNTIF</t>
  </si>
  <si>
    <t>SUMIF</t>
  </si>
  <si>
    <t>AVERAGEIF</t>
  </si>
  <si>
    <t>CONTIFS</t>
  </si>
  <si>
    <t>SUMIFS</t>
  </si>
  <si>
    <t>S.No</t>
  </si>
  <si>
    <t>Units Sold</t>
  </si>
  <si>
    <t>West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</si>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</sst>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"/>
    <numFmt numFmtId="167" formatCode="&quot;₹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8"/>
      <name val="Calibri"/>
      <family val="2"/>
      <scheme val="minor"/>
    </font>
    <font>
      <sz val="18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FFFF"/>
      <name val="Segoe UI"/>
      <family val="2"/>
    </font>
    <font>
      <sz val="10"/>
      <color rgb="FFFFFFFF"/>
      <name val="Segoe UI"/>
      <family val="2"/>
    </font>
    <font>
      <sz val="11"/>
      <color theme="1"/>
      <name val="Aharoni"/>
      <charset val="177"/>
    </font>
    <font>
      <sz val="11"/>
      <color theme="1"/>
      <name val="Algerian"/>
      <family val="5"/>
    </font>
    <font>
      <sz val="11"/>
      <color theme="7"/>
      <name val="Calibri"/>
      <family val="2"/>
      <scheme val="minor"/>
    </font>
    <font>
      <sz val="11"/>
      <color rgb="FF000000"/>
      <name val="Arial"/>
      <family val="2"/>
    </font>
    <font>
      <sz val="12"/>
      <color rgb="FF666666"/>
      <name val="Aharoni"/>
      <charset val="177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0" borderId="1" xfId="0" applyBorder="1"/>
    <xf numFmtId="3" fontId="0" fillId="0" borderId="2" xfId="0" applyNumberFormat="1" applyBorder="1"/>
    <xf numFmtId="6" fontId="0" fillId="0" borderId="0" xfId="0" applyNumberFormat="1"/>
    <xf numFmtId="0" fontId="0" fillId="0" borderId="3" xfId="0" applyBorder="1"/>
    <xf numFmtId="3" fontId="0" fillId="0" borderId="3" xfId="0" applyNumberFormat="1" applyBorder="1"/>
    <xf numFmtId="0" fontId="3" fillId="0" borderId="3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" fillId="2" borderId="4" xfId="0" applyFont="1" applyFill="1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3" borderId="3" xfId="0" applyFont="1" applyFill="1" applyBorder="1"/>
    <xf numFmtId="164" fontId="0" fillId="0" borderId="3" xfId="0" applyNumberFormat="1" applyBorder="1"/>
    <xf numFmtId="164" fontId="0" fillId="0" borderId="0" xfId="0" applyNumberFormat="1"/>
    <xf numFmtId="0" fontId="8" fillId="4" borderId="3" xfId="0" applyFont="1" applyFill="1" applyBorder="1"/>
    <xf numFmtId="10" fontId="0" fillId="0" borderId="0" xfId="0" applyNumberFormat="1"/>
    <xf numFmtId="0" fontId="7" fillId="5" borderId="3" xfId="0" applyFont="1" applyFill="1" applyBorder="1"/>
    <xf numFmtId="10" fontId="0" fillId="0" borderId="3" xfId="0" applyNumberFormat="1" applyBorder="1"/>
    <xf numFmtId="0" fontId="0" fillId="6" borderId="3" xfId="0" applyFill="1" applyBorder="1"/>
    <xf numFmtId="0" fontId="7" fillId="7" borderId="3" xfId="0" applyFont="1" applyFill="1" applyBorder="1"/>
    <xf numFmtId="164" fontId="4" fillId="0" borderId="3" xfId="0" applyNumberFormat="1" applyFont="1" applyBorder="1"/>
    <xf numFmtId="0" fontId="9" fillId="0" borderId="3" xfId="0" applyFont="1" applyBorder="1"/>
    <xf numFmtId="0" fontId="0" fillId="0" borderId="1" xfId="0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14" fontId="0" fillId="0" borderId="0" xfId="0" applyNumberFormat="1"/>
    <xf numFmtId="0" fontId="7" fillId="0" borderId="3" xfId="0" applyFont="1" applyBorder="1"/>
    <xf numFmtId="14" fontId="0" fillId="0" borderId="3" xfId="0" applyNumberFormat="1" applyBorder="1"/>
    <xf numFmtId="6" fontId="0" fillId="0" borderId="3" xfId="0" applyNumberFormat="1" applyBorder="1"/>
    <xf numFmtId="6" fontId="0" fillId="4" borderId="3" xfId="0" applyNumberFormat="1" applyFill="1" applyBorder="1"/>
    <xf numFmtId="6" fontId="0" fillId="8" borderId="3" xfId="0" applyNumberFormat="1" applyFill="1" applyBorder="1"/>
    <xf numFmtId="6" fontId="0" fillId="9" borderId="3" xfId="0" applyNumberFormat="1" applyFill="1" applyBorder="1"/>
    <xf numFmtId="0" fontId="10" fillId="0" borderId="0" xfId="0" applyFont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22" fontId="0" fillId="0" borderId="3" xfId="0" applyNumberFormat="1" applyBorder="1"/>
    <xf numFmtId="0" fontId="10" fillId="0" borderId="3" xfId="0" applyFont="1" applyBorder="1" applyAlignment="1">
      <alignment horizontal="left" vertical="center" indent="1"/>
    </xf>
    <xf numFmtId="46" fontId="0" fillId="0" borderId="3" xfId="0" applyNumberFormat="1" applyBorder="1"/>
    <xf numFmtId="0" fontId="7" fillId="0" borderId="7" xfId="0" applyFont="1" applyBorder="1"/>
    <xf numFmtId="15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3" xfId="0" applyNumberFormat="1" applyBorder="1"/>
    <xf numFmtId="0" fontId="7" fillId="3" borderId="1" xfId="0" applyFont="1" applyFill="1" applyBorder="1"/>
    <xf numFmtId="6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ENDRA" refreshedDate="46300.574770254629" createdVersion="8" refreshedVersion="8" minRefreshableVersion="3" recordCount="10" xr:uid="{D0D1A41B-5B16-4D0A-A393-3D26643BC5A0}">
  <cacheSource type="worksheet">
    <worksheetSource ref="A1:E11" sheet="Pivot Table A-2-ZDate_x0009_Product_x0009_"/>
  </cacheSource>
  <cacheFields count="6">
    <cacheField name="Date" numFmtId="15">
      <sharedItems containsSemiMixedTypes="0" containsNonDate="0" containsDate="1" containsString="0" minDate="2026-01-05T00:00:00" maxDate="2026-05-16T00:00:00" count="10">
        <d v="2026-01-05T00:00:00"/>
        <d v="2026-01-10T00:00:00"/>
        <d v="2026-01-15T00:00:00"/>
        <d v="2026-02-22T00:00:00"/>
        <d v="2026-02-28T00:00:00"/>
        <d v="2026-03-05T00:00:00"/>
        <d v="2026-03-12T00:00:00"/>
        <d v="2026-04-20T00:00:00"/>
        <d v="2026-05-08T00:00:00"/>
        <d v="2026-05-15T00:00:00"/>
      </sharedItems>
      <fieldGroup par="5"/>
    </cacheField>
    <cacheField name="Product" numFmtId="0">
      <sharedItems count="4">
        <s v="Laptop"/>
        <s v="Smartphone"/>
        <s v="Chair"/>
        <s v="Desk"/>
      </sharedItems>
    </cacheField>
    <cacheField name="Category" numFmtId="0">
      <sharedItems count="2">
        <s v="Electronics"/>
        <s v="Furniture"/>
      </sharedItems>
    </cacheField>
    <cacheField name="Salesperson" numFmtId="0">
      <sharedItems count="5">
        <s v="Ravi"/>
        <s v="Priya"/>
        <s v="Amit"/>
        <s v="Sneha"/>
        <s v="Kiran"/>
      </sharedItems>
    </cacheField>
    <cacheField name="Sales Amount" numFmtId="6">
      <sharedItems containsSemiMixedTypes="0" containsString="0" containsNumber="1" containsInteger="1" minValue="18000" maxValue="90000"/>
    </cacheField>
    <cacheField name="Months (Date)" numFmtId="0" databaseField="0">
      <fieldGroup base="0">
        <rangePr groupBy="months" startDate="2026-01-05T00:00:00" endDate="2026-05-16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75000"/>
  </r>
  <r>
    <x v="1"/>
    <x v="1"/>
    <x v="0"/>
    <x v="1"/>
    <n v="45000"/>
  </r>
  <r>
    <x v="2"/>
    <x v="2"/>
    <x v="1"/>
    <x v="2"/>
    <n v="18000"/>
  </r>
  <r>
    <x v="3"/>
    <x v="0"/>
    <x v="0"/>
    <x v="3"/>
    <n v="80000"/>
  </r>
  <r>
    <x v="4"/>
    <x v="3"/>
    <x v="1"/>
    <x v="4"/>
    <n v="25000"/>
  </r>
  <r>
    <x v="5"/>
    <x v="1"/>
    <x v="0"/>
    <x v="0"/>
    <n v="52000"/>
  </r>
  <r>
    <x v="6"/>
    <x v="2"/>
    <x v="1"/>
    <x v="1"/>
    <n v="20000"/>
  </r>
  <r>
    <x v="7"/>
    <x v="0"/>
    <x v="0"/>
    <x v="2"/>
    <n v="90000"/>
  </r>
  <r>
    <x v="8"/>
    <x v="3"/>
    <x v="1"/>
    <x v="3"/>
    <n v="28000"/>
  </r>
  <r>
    <x v="9"/>
    <x v="1"/>
    <x v="0"/>
    <x v="4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E3D4F-8DD8-460E-BD99-9F15ABA868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19" firstHeaderRow="1" firstDataRow="2" firstDataCol="1" rowPageCount="1" colPageCount="1"/>
  <pivotFields count="6">
    <pivotField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6">
        <item x="2"/>
        <item x="4"/>
        <item x="1"/>
        <item x="0"/>
        <item x="3"/>
        <item t="default"/>
      </items>
    </pivotField>
    <pivotField dataField="1" numFmtId="6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5"/>
  </rowFields>
  <rowItems count="15">
    <i>
      <x/>
    </i>
    <i r="1">
      <x v="1"/>
    </i>
    <i r="1">
      <x v="3"/>
    </i>
    <i>
      <x v="1"/>
    </i>
    <i r="1">
      <x v="2"/>
    </i>
    <i r="1">
      <x v="5"/>
    </i>
    <i>
      <x v="2"/>
    </i>
    <i r="1">
      <x v="1"/>
    </i>
    <i r="1">
      <x v="2"/>
    </i>
    <i r="1">
      <x v="4"/>
    </i>
    <i>
      <x v="3"/>
    </i>
    <i r="1">
      <x v="1"/>
    </i>
    <i r="1">
      <x v="3"/>
    </i>
    <i r="1"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Sum of Sales Amount" fld="4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6EA7-9901-4C1B-A5EE-335D87F44BF8}">
  <dimension ref="A1:F14"/>
  <sheetViews>
    <sheetView workbookViewId="0">
      <selection activeCell="C14" sqref="C14"/>
    </sheetView>
  </sheetViews>
  <sheetFormatPr defaultRowHeight="14.4" x14ac:dyDescent="0.3"/>
  <cols>
    <col min="4" max="4" width="17.77734375" customWidth="1"/>
  </cols>
  <sheetData>
    <row r="1" spans="1:6" x14ac:dyDescent="0.3">
      <c r="A1" s="11" t="s">
        <v>12</v>
      </c>
      <c r="B1" s="11" t="s">
        <v>13</v>
      </c>
      <c r="D1" s="11" t="s">
        <v>21</v>
      </c>
    </row>
    <row r="2" spans="1:6" x14ac:dyDescent="0.3">
      <c r="A2" s="10" t="s">
        <v>0</v>
      </c>
      <c r="B2" s="2">
        <v>45000</v>
      </c>
      <c r="D2" s="11" t="s">
        <v>14</v>
      </c>
      <c r="E2" s="11" t="s">
        <v>15</v>
      </c>
    </row>
    <row r="3" spans="1:6" x14ac:dyDescent="0.3">
      <c r="A3" s="9" t="s">
        <v>5</v>
      </c>
      <c r="B3" s="2">
        <v>52000</v>
      </c>
      <c r="C3" s="1"/>
      <c r="D3" s="6" t="s">
        <v>16</v>
      </c>
      <c r="E3" s="7">
        <f>SUM(B2:B13)</f>
        <v>728000</v>
      </c>
      <c r="F3" s="5"/>
    </row>
    <row r="4" spans="1:6" x14ac:dyDescent="0.3">
      <c r="A4" s="3" t="s">
        <v>1</v>
      </c>
      <c r="B4" s="2">
        <v>48000</v>
      </c>
      <c r="C4" s="1"/>
      <c r="D4" s="6" t="s">
        <v>17</v>
      </c>
      <c r="E4" s="7">
        <f>MAX(B2:B13)</f>
        <v>82000</v>
      </c>
    </row>
    <row r="5" spans="1:6" ht="13.8" customHeight="1" x14ac:dyDescent="0.3">
      <c r="A5" s="3" t="s">
        <v>2</v>
      </c>
      <c r="B5" s="2">
        <v>61000</v>
      </c>
      <c r="C5" s="1"/>
      <c r="D5" s="8"/>
      <c r="E5" s="6"/>
    </row>
    <row r="6" spans="1:6" x14ac:dyDescent="0.3">
      <c r="A6" s="3" t="s">
        <v>3</v>
      </c>
      <c r="B6" s="2">
        <v>55000</v>
      </c>
      <c r="C6" s="1"/>
      <c r="D6" s="7" t="s">
        <v>18</v>
      </c>
      <c r="E6" s="7">
        <f>MIN(B2:B13)</f>
        <v>45000</v>
      </c>
    </row>
    <row r="7" spans="1:6" x14ac:dyDescent="0.3">
      <c r="A7" s="3" t="s">
        <v>4</v>
      </c>
      <c r="B7" s="2">
        <v>72000</v>
      </c>
      <c r="C7" s="1"/>
      <c r="D7" s="6" t="s">
        <v>19</v>
      </c>
      <c r="E7" s="6">
        <f>SMALL(B2:B13,2)</f>
        <v>48000</v>
      </c>
    </row>
    <row r="8" spans="1:6" x14ac:dyDescent="0.3">
      <c r="A8" s="3" t="s">
        <v>6</v>
      </c>
      <c r="B8" s="2">
        <v>68000</v>
      </c>
      <c r="C8" s="1"/>
      <c r="D8" s="6" t="s">
        <v>20</v>
      </c>
      <c r="E8" s="6">
        <f>LARGE(B2:B13,3)</f>
        <v>72000</v>
      </c>
    </row>
    <row r="9" spans="1:6" x14ac:dyDescent="0.3">
      <c r="A9" s="3" t="s">
        <v>7</v>
      </c>
      <c r="B9" s="2">
        <v>49000</v>
      </c>
      <c r="C9" s="1"/>
      <c r="D9" s="6" t="s">
        <v>22</v>
      </c>
      <c r="E9" s="7">
        <f>MEDIAN(B2:B13)</f>
        <v>59500</v>
      </c>
    </row>
    <row r="10" spans="1:6" x14ac:dyDescent="0.3">
      <c r="A10" s="3" t="s">
        <v>8</v>
      </c>
      <c r="B10" s="2">
        <v>75000</v>
      </c>
      <c r="C10" s="1"/>
    </row>
    <row r="11" spans="1:6" x14ac:dyDescent="0.3">
      <c r="A11" s="3" t="s">
        <v>9</v>
      </c>
      <c r="B11" s="2">
        <v>63000</v>
      </c>
      <c r="C11" s="1"/>
    </row>
    <row r="12" spans="1:6" x14ac:dyDescent="0.3">
      <c r="A12" s="3" t="s">
        <v>10</v>
      </c>
      <c r="B12" s="2">
        <v>58000</v>
      </c>
      <c r="C12" s="1"/>
    </row>
    <row r="13" spans="1:6" x14ac:dyDescent="0.3">
      <c r="A13" s="3" t="s">
        <v>11</v>
      </c>
      <c r="B13" s="4">
        <v>82000</v>
      </c>
      <c r="C13" s="1"/>
    </row>
    <row r="14" spans="1:6" x14ac:dyDescent="0.3">
      <c r="C1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1EC9-9371-412E-A1F4-0FDDC734B321}">
  <dimension ref="A1:R13"/>
  <sheetViews>
    <sheetView workbookViewId="0">
      <selection activeCell="D5" sqref="D5:P6"/>
    </sheetView>
  </sheetViews>
  <sheetFormatPr defaultRowHeight="14.4" x14ac:dyDescent="0.3"/>
  <sheetData>
    <row r="1" spans="1:18" x14ac:dyDescent="0.3">
      <c r="A1" s="11" t="s">
        <v>12</v>
      </c>
      <c r="B1" s="11" t="s">
        <v>13</v>
      </c>
    </row>
    <row r="2" spans="1:18" ht="15" x14ac:dyDescent="0.3">
      <c r="A2" s="10" t="s">
        <v>0</v>
      </c>
      <c r="B2" s="2">
        <v>45000</v>
      </c>
      <c r="D2" s="6" t="s">
        <v>12</v>
      </c>
      <c r="E2" s="6" t="s">
        <v>0</v>
      </c>
      <c r="F2" s="6" t="s">
        <v>5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11</v>
      </c>
      <c r="R2" s="12"/>
    </row>
    <row r="3" spans="1:18" x14ac:dyDescent="0.3">
      <c r="A3" s="9" t="s">
        <v>5</v>
      </c>
      <c r="B3" s="2">
        <v>52000</v>
      </c>
      <c r="D3" s="6" t="s">
        <v>23</v>
      </c>
      <c r="E3" s="7">
        <v>45000</v>
      </c>
      <c r="F3" s="7">
        <v>52000</v>
      </c>
      <c r="G3" s="7">
        <v>48000</v>
      </c>
      <c r="H3" s="7">
        <v>61000</v>
      </c>
      <c r="I3" s="7">
        <v>55000</v>
      </c>
      <c r="J3" s="7">
        <v>72000</v>
      </c>
      <c r="K3" s="7">
        <v>68000</v>
      </c>
      <c r="L3" s="7">
        <v>49000</v>
      </c>
      <c r="M3" s="7">
        <v>75000</v>
      </c>
      <c r="N3" s="7">
        <v>63000</v>
      </c>
      <c r="O3" s="7">
        <v>58000</v>
      </c>
      <c r="P3" s="7">
        <v>82000</v>
      </c>
      <c r="R3" s="13"/>
    </row>
    <row r="4" spans="1:18" ht="11.4" customHeight="1" x14ac:dyDescent="0.3">
      <c r="A4" s="3" t="s">
        <v>1</v>
      </c>
      <c r="B4" s="2">
        <v>48000</v>
      </c>
      <c r="R4" s="14" t="s">
        <v>24</v>
      </c>
    </row>
    <row r="5" spans="1:18" ht="13.8" customHeight="1" x14ac:dyDescent="0.3">
      <c r="A5" s="3" t="s">
        <v>2</v>
      </c>
      <c r="B5" s="2">
        <v>61000</v>
      </c>
      <c r="D5" s="6" t="str" cm="1">
        <f t="array" ref="D5:P6">TRANSPOSE(A1:B13)</f>
        <v>Month</v>
      </c>
      <c r="E5" s="6" t="str">
        <v>January</v>
      </c>
      <c r="F5" s="6" t="str">
        <v>February</v>
      </c>
      <c r="G5" s="6" t="str">
        <v>March</v>
      </c>
      <c r="H5" s="6" t="str">
        <v>April</v>
      </c>
      <c r="I5" s="6" t="str">
        <v>May</v>
      </c>
      <c r="J5" s="6" t="str">
        <v>June</v>
      </c>
      <c r="K5" s="6" t="str">
        <v>July</v>
      </c>
      <c r="L5" s="6" t="str">
        <v>August</v>
      </c>
      <c r="M5" s="6" t="str">
        <v>September</v>
      </c>
      <c r="N5" s="6" t="str">
        <v>October</v>
      </c>
      <c r="O5" s="6" t="str">
        <v>November</v>
      </c>
      <c r="P5" s="6" t="str">
        <v>December</v>
      </c>
      <c r="R5" s="14" t="s">
        <v>25</v>
      </c>
    </row>
    <row r="6" spans="1:18" ht="11.4" customHeight="1" x14ac:dyDescent="0.3">
      <c r="A6" s="3" t="s">
        <v>3</v>
      </c>
      <c r="B6" s="2">
        <v>55000</v>
      </c>
      <c r="D6" s="6" t="str">
        <v>Sales (₹)</v>
      </c>
      <c r="E6" s="6">
        <v>45000</v>
      </c>
      <c r="F6" s="6">
        <v>52000</v>
      </c>
      <c r="G6" s="6">
        <v>48000</v>
      </c>
      <c r="H6" s="6">
        <v>61000</v>
      </c>
      <c r="I6" s="6">
        <v>55000</v>
      </c>
      <c r="J6" s="6">
        <v>72000</v>
      </c>
      <c r="K6" s="6">
        <v>68000</v>
      </c>
      <c r="L6" s="6">
        <v>49000</v>
      </c>
      <c r="M6" s="6">
        <v>75000</v>
      </c>
      <c r="N6" s="6">
        <v>63000</v>
      </c>
      <c r="O6" s="6">
        <v>58000</v>
      </c>
      <c r="P6" s="6">
        <v>82000</v>
      </c>
      <c r="R6" s="14" t="s">
        <v>26</v>
      </c>
    </row>
    <row r="7" spans="1:18" ht="11.4" customHeight="1" x14ac:dyDescent="0.3">
      <c r="A7" s="3" t="s">
        <v>4</v>
      </c>
      <c r="B7" s="2">
        <v>72000</v>
      </c>
      <c r="R7" s="15" t="s">
        <v>27</v>
      </c>
    </row>
    <row r="8" spans="1:18" ht="12" customHeight="1" x14ac:dyDescent="0.3">
      <c r="A8" s="3" t="s">
        <v>6</v>
      </c>
      <c r="B8" s="2">
        <v>68000</v>
      </c>
      <c r="R8" s="15" t="s">
        <v>28</v>
      </c>
    </row>
    <row r="9" spans="1:18" x14ac:dyDescent="0.3">
      <c r="A9" s="3" t="s">
        <v>7</v>
      </c>
      <c r="B9" s="2">
        <v>49000</v>
      </c>
    </row>
    <row r="10" spans="1:18" x14ac:dyDescent="0.3">
      <c r="A10" s="3" t="s">
        <v>8</v>
      </c>
      <c r="B10" s="2">
        <v>75000</v>
      </c>
    </row>
    <row r="11" spans="1:18" x14ac:dyDescent="0.3">
      <c r="A11" s="3" t="s">
        <v>9</v>
      </c>
      <c r="B11" s="2">
        <v>63000</v>
      </c>
    </row>
    <row r="12" spans="1:18" x14ac:dyDescent="0.3">
      <c r="A12" s="3" t="s">
        <v>10</v>
      </c>
      <c r="B12" s="2">
        <v>58000</v>
      </c>
    </row>
    <row r="13" spans="1:18" x14ac:dyDescent="0.3">
      <c r="A13" s="3" t="s">
        <v>11</v>
      </c>
      <c r="B13" s="4">
        <v>82000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7B25-D528-470E-868B-F18034494885}">
  <dimension ref="A1:G14"/>
  <sheetViews>
    <sheetView workbookViewId="0">
      <selection activeCell="G14" sqref="G14"/>
    </sheetView>
  </sheetViews>
  <sheetFormatPr defaultRowHeight="14.4" x14ac:dyDescent="0.3"/>
  <cols>
    <col min="1" max="1" width="13.88671875" customWidth="1"/>
    <col min="4" max="4" width="14.44140625" customWidth="1"/>
    <col min="7" max="7" width="17.77734375" customWidth="1"/>
  </cols>
  <sheetData>
    <row r="1" spans="1:7" x14ac:dyDescent="0.3">
      <c r="A1" s="16" t="s">
        <v>29</v>
      </c>
      <c r="B1" s="16" t="s">
        <v>23</v>
      </c>
    </row>
    <row r="2" spans="1:7" x14ac:dyDescent="0.3">
      <c r="A2" s="6" t="s">
        <v>30</v>
      </c>
      <c r="B2" s="6">
        <v>45000</v>
      </c>
    </row>
    <row r="3" spans="1:7" x14ac:dyDescent="0.3">
      <c r="A3" s="6" t="s">
        <v>31</v>
      </c>
      <c r="B3" s="6">
        <v>12000</v>
      </c>
      <c r="D3" s="16" t="s">
        <v>39</v>
      </c>
      <c r="E3" s="6">
        <f>COUNT(B2:B10)</f>
        <v>6</v>
      </c>
    </row>
    <row r="4" spans="1:7" x14ac:dyDescent="0.3">
      <c r="A4" s="6" t="s">
        <v>32</v>
      </c>
      <c r="B4" s="6"/>
      <c r="D4" s="16" t="s">
        <v>40</v>
      </c>
      <c r="E4" s="6">
        <f>COUNTA(A2:A10)</f>
        <v>9</v>
      </c>
    </row>
    <row r="5" spans="1:7" x14ac:dyDescent="0.3">
      <c r="A5" s="6" t="s">
        <v>33</v>
      </c>
      <c r="B5" s="6">
        <v>28000</v>
      </c>
      <c r="D5" s="16" t="s">
        <v>41</v>
      </c>
      <c r="E5" s="6">
        <f>COUNTBLANK(B2:B10)</f>
        <v>3</v>
      </c>
    </row>
    <row r="6" spans="1:7" x14ac:dyDescent="0.3">
      <c r="A6" s="6" t="s">
        <v>34</v>
      </c>
      <c r="B6" s="6"/>
    </row>
    <row r="7" spans="1:7" x14ac:dyDescent="0.3">
      <c r="A7" s="6" t="s">
        <v>35</v>
      </c>
      <c r="B7" s="6">
        <v>15000</v>
      </c>
    </row>
    <row r="8" spans="1:7" x14ac:dyDescent="0.3">
      <c r="A8" s="6" t="s">
        <v>36</v>
      </c>
      <c r="B8" s="6"/>
    </row>
    <row r="9" spans="1:7" x14ac:dyDescent="0.3">
      <c r="A9" s="6" t="s">
        <v>37</v>
      </c>
      <c r="B9" s="6">
        <v>10000</v>
      </c>
    </row>
    <row r="10" spans="1:7" x14ac:dyDescent="0.3">
      <c r="A10" s="6" t="s">
        <v>38</v>
      </c>
      <c r="B10" s="6">
        <v>8000</v>
      </c>
    </row>
    <row r="11" spans="1:7" x14ac:dyDescent="0.3">
      <c r="D11" s="16" t="s">
        <v>42</v>
      </c>
      <c r="E11" s="16" t="s">
        <v>15</v>
      </c>
      <c r="F11" s="16" t="s">
        <v>43</v>
      </c>
      <c r="G11" s="16" t="s">
        <v>44</v>
      </c>
    </row>
    <row r="12" spans="1:7" x14ac:dyDescent="0.3">
      <c r="D12" s="6" t="s">
        <v>39</v>
      </c>
      <c r="E12" s="6">
        <f>COUNT(B2:B10)</f>
        <v>6</v>
      </c>
      <c r="F12" s="6">
        <v>6</v>
      </c>
      <c r="G12" s="6" t="s">
        <v>45</v>
      </c>
    </row>
    <row r="13" spans="1:7" x14ac:dyDescent="0.3">
      <c r="D13" s="6" t="s">
        <v>40</v>
      </c>
      <c r="E13" s="6">
        <f>COUNTA(A2:A10)</f>
        <v>9</v>
      </c>
      <c r="F13" s="6">
        <v>9</v>
      </c>
      <c r="G13" s="6" t="s">
        <v>46</v>
      </c>
    </row>
    <row r="14" spans="1:7" x14ac:dyDescent="0.3">
      <c r="D14" s="6" t="s">
        <v>41</v>
      </c>
      <c r="E14" s="6">
        <f>COUNTBLANK(B2:B10)</f>
        <v>3</v>
      </c>
      <c r="F14" s="6">
        <v>3</v>
      </c>
      <c r="G14" s="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F5D2-2D7B-416D-AAED-FEC8EFE9597C}">
  <dimension ref="A1:D10"/>
  <sheetViews>
    <sheetView workbookViewId="0">
      <selection activeCell="D8" sqref="D8"/>
    </sheetView>
  </sheetViews>
  <sheetFormatPr defaultRowHeight="14.4" x14ac:dyDescent="0.3"/>
  <cols>
    <col min="2" max="2" width="10.44140625" bestFit="1" customWidth="1"/>
    <col min="3" max="3" width="12" customWidth="1"/>
    <col min="4" max="4" width="9.33203125" bestFit="1" customWidth="1"/>
  </cols>
  <sheetData>
    <row r="1" spans="1:4" ht="15" x14ac:dyDescent="0.3">
      <c r="A1" s="19" t="s">
        <v>48</v>
      </c>
      <c r="B1" s="19" t="s">
        <v>23</v>
      </c>
    </row>
    <row r="2" spans="1:4" x14ac:dyDescent="0.3">
      <c r="A2" s="6" t="s">
        <v>30</v>
      </c>
      <c r="B2" s="17">
        <v>45000</v>
      </c>
    </row>
    <row r="3" spans="1:4" x14ac:dyDescent="0.3">
      <c r="A3" s="6" t="s">
        <v>31</v>
      </c>
      <c r="B3" s="17">
        <v>12000</v>
      </c>
      <c r="D3" s="18"/>
    </row>
    <row r="4" spans="1:4" ht="15" x14ac:dyDescent="0.3">
      <c r="A4" s="6" t="s">
        <v>32</v>
      </c>
      <c r="B4" s="17"/>
      <c r="C4" s="19" t="s">
        <v>49</v>
      </c>
      <c r="D4" s="17">
        <f>SUM(B2:B10)</f>
        <v>118000</v>
      </c>
    </row>
    <row r="5" spans="1:4" ht="15" x14ac:dyDescent="0.3">
      <c r="A5" s="6" t="s">
        <v>33</v>
      </c>
      <c r="B5" s="17">
        <v>28000</v>
      </c>
      <c r="C5" s="19" t="s">
        <v>50</v>
      </c>
      <c r="D5" s="17">
        <f>AVERAGE(B2:B10)</f>
        <v>19666.666666666668</v>
      </c>
    </row>
    <row r="6" spans="1:4" ht="15" x14ac:dyDescent="0.3">
      <c r="A6" s="6" t="s">
        <v>34</v>
      </c>
      <c r="B6" s="17"/>
      <c r="C6" s="19" t="s">
        <v>39</v>
      </c>
      <c r="D6" s="6">
        <f>COUNT(B2:B10)</f>
        <v>6</v>
      </c>
    </row>
    <row r="7" spans="1:4" ht="15" x14ac:dyDescent="0.3">
      <c r="A7" s="6" t="s">
        <v>35</v>
      </c>
      <c r="B7" s="17">
        <v>15000</v>
      </c>
      <c r="C7" s="19" t="s">
        <v>51</v>
      </c>
      <c r="D7" s="17">
        <f>MIN(B2:B10)</f>
        <v>8000</v>
      </c>
    </row>
    <row r="8" spans="1:4" ht="15" x14ac:dyDescent="0.3">
      <c r="A8" s="6" t="s">
        <v>36</v>
      </c>
      <c r="B8" s="17"/>
      <c r="C8" s="19" t="s">
        <v>52</v>
      </c>
      <c r="D8" s="17">
        <f>MAX(B2:B10)</f>
        <v>45000</v>
      </c>
    </row>
    <row r="9" spans="1:4" x14ac:dyDescent="0.3">
      <c r="A9" s="6" t="s">
        <v>37</v>
      </c>
      <c r="B9" s="17">
        <v>10000</v>
      </c>
    </row>
    <row r="10" spans="1:4" x14ac:dyDescent="0.3">
      <c r="A10" s="6" t="s">
        <v>38</v>
      </c>
      <c r="B10" s="17">
        <v>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4C1F-D9A6-4D8E-B765-877CCDB9A0BD}">
  <dimension ref="A1:I9"/>
  <sheetViews>
    <sheetView workbookViewId="0">
      <selection activeCell="I7" sqref="I7"/>
    </sheetView>
  </sheetViews>
  <sheetFormatPr defaultRowHeight="14.4" x14ac:dyDescent="0.3"/>
  <cols>
    <col min="2" max="2" width="12.5546875" customWidth="1"/>
    <col min="3" max="3" width="13.77734375" customWidth="1"/>
    <col min="7" max="7" width="18" customWidth="1"/>
    <col min="8" max="8" width="10.77734375" customWidth="1"/>
    <col min="9" max="9" width="17.5546875" customWidth="1"/>
  </cols>
  <sheetData>
    <row r="1" spans="1:9" x14ac:dyDescent="0.3">
      <c r="A1" s="21" t="s">
        <v>53</v>
      </c>
      <c r="B1" s="21" t="s">
        <v>54</v>
      </c>
      <c r="C1" s="21" t="s">
        <v>55</v>
      </c>
      <c r="G1" s="21" t="s">
        <v>53</v>
      </c>
      <c r="H1" s="21" t="s">
        <v>58</v>
      </c>
      <c r="I1" s="21" t="s">
        <v>55</v>
      </c>
    </row>
    <row r="2" spans="1:9" x14ac:dyDescent="0.3">
      <c r="A2" s="6">
        <v>2021</v>
      </c>
      <c r="B2" s="17">
        <v>100000</v>
      </c>
      <c r="C2" s="6" t="s">
        <v>56</v>
      </c>
      <c r="G2" s="6">
        <v>2021</v>
      </c>
      <c r="H2" s="6" t="s">
        <v>59</v>
      </c>
      <c r="I2" s="6" t="s">
        <v>56</v>
      </c>
    </row>
    <row r="3" spans="1:9" x14ac:dyDescent="0.3">
      <c r="A3" s="6">
        <v>2022</v>
      </c>
      <c r="B3" s="17">
        <v>120000</v>
      </c>
      <c r="C3" s="22">
        <f>(B3-B2)/B2</f>
        <v>0.2</v>
      </c>
      <c r="G3" s="6">
        <v>2022</v>
      </c>
      <c r="H3" s="6" t="s">
        <v>60</v>
      </c>
      <c r="I3" s="22">
        <f>(B3-B2)/B2</f>
        <v>0.2</v>
      </c>
    </row>
    <row r="4" spans="1:9" x14ac:dyDescent="0.3">
      <c r="A4" s="6">
        <v>2023</v>
      </c>
      <c r="B4" s="17">
        <v>135000</v>
      </c>
      <c r="C4" s="22">
        <f t="shared" ref="C4:C6" si="0">(B4-B3)/B3</f>
        <v>0.125</v>
      </c>
      <c r="G4" s="6">
        <v>2023</v>
      </c>
      <c r="H4" s="6" t="s">
        <v>61</v>
      </c>
      <c r="I4" s="22">
        <f t="shared" ref="I4:I6" si="1">(B4-B3)/B3</f>
        <v>0.125</v>
      </c>
    </row>
    <row r="5" spans="1:9" x14ac:dyDescent="0.3">
      <c r="A5" s="6">
        <v>2024</v>
      </c>
      <c r="B5" s="17">
        <v>150000</v>
      </c>
      <c r="C5" s="22">
        <f>(B5-B4)/B4</f>
        <v>0.1111111111111111</v>
      </c>
      <c r="G5" s="6">
        <v>2024</v>
      </c>
      <c r="H5" s="6" t="s">
        <v>62</v>
      </c>
      <c r="I5" s="22">
        <f t="shared" si="1"/>
        <v>0.1111111111111111</v>
      </c>
    </row>
    <row r="6" spans="1:9" x14ac:dyDescent="0.3">
      <c r="A6" s="6">
        <v>2025</v>
      </c>
      <c r="B6" s="17">
        <v>180000</v>
      </c>
      <c r="C6" s="22">
        <f t="shared" si="0"/>
        <v>0.2</v>
      </c>
      <c r="G6" s="6">
        <v>2025</v>
      </c>
      <c r="H6" s="6" t="s">
        <v>63</v>
      </c>
      <c r="I6" s="22">
        <f t="shared" si="1"/>
        <v>0.2</v>
      </c>
    </row>
    <row r="7" spans="1:9" x14ac:dyDescent="0.3">
      <c r="G7" s="23" t="s">
        <v>64</v>
      </c>
      <c r="H7" s="6"/>
      <c r="I7" s="23">
        <f>POWER(B6/B2,1/(A6-A2))-1</f>
        <v>0.15829218528826905</v>
      </c>
    </row>
    <row r="8" spans="1:9" x14ac:dyDescent="0.3">
      <c r="I8" s="20"/>
    </row>
    <row r="9" spans="1:9" x14ac:dyDescent="0.3">
      <c r="D9" s="21" t="s">
        <v>57</v>
      </c>
      <c r="E9" s="22">
        <f>POWER(B6/B2,1/(A6-A2))-1</f>
        <v>0.15829218528826905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E6A5-963F-4B2D-BD1D-CF0B2D79C3C9}">
  <dimension ref="A1:C6"/>
  <sheetViews>
    <sheetView workbookViewId="0">
      <selection sqref="A1:C6"/>
    </sheetView>
  </sheetViews>
  <sheetFormatPr defaultRowHeight="14.4" x14ac:dyDescent="0.3"/>
  <cols>
    <col min="1" max="1" width="18.21875" customWidth="1"/>
    <col min="2" max="2" width="11.88671875" bestFit="1" customWidth="1"/>
  </cols>
  <sheetData>
    <row r="1" spans="1:3" x14ac:dyDescent="0.3">
      <c r="A1" s="24" t="s">
        <v>65</v>
      </c>
      <c r="B1" s="24" t="s">
        <v>23</v>
      </c>
      <c r="C1" s="24" t="s">
        <v>66</v>
      </c>
    </row>
    <row r="2" spans="1:3" x14ac:dyDescent="0.3">
      <c r="A2" s="6" t="s">
        <v>67</v>
      </c>
      <c r="B2" s="26">
        <v>125000</v>
      </c>
      <c r="C2" s="22">
        <v>0.125</v>
      </c>
    </row>
    <row r="3" spans="1:3" x14ac:dyDescent="0.3">
      <c r="A3" s="6" t="s">
        <v>68</v>
      </c>
      <c r="B3" s="25">
        <v>98000</v>
      </c>
      <c r="C3" s="22">
        <v>8.7499999999999994E-2</v>
      </c>
    </row>
    <row r="4" spans="1:3" x14ac:dyDescent="0.3">
      <c r="A4" s="6" t="s">
        <v>69</v>
      </c>
      <c r="B4" s="17">
        <v>156000</v>
      </c>
      <c r="C4" s="22">
        <v>0.182</v>
      </c>
    </row>
    <row r="5" spans="1:3" x14ac:dyDescent="0.3">
      <c r="A5" s="6" t="s">
        <v>70</v>
      </c>
      <c r="B5" s="25">
        <v>75000</v>
      </c>
      <c r="C5" s="22">
        <v>-5.3999999999999999E-2</v>
      </c>
    </row>
    <row r="6" spans="1:3" x14ac:dyDescent="0.3">
      <c r="A6" s="6" t="s">
        <v>71</v>
      </c>
      <c r="B6" s="17">
        <v>210000</v>
      </c>
      <c r="C6" s="22">
        <v>0.221</v>
      </c>
    </row>
  </sheetData>
  <conditionalFormatting sqref="B2:B6">
    <cfRule type="cellIs" dxfId="4" priority="1" operator="greaterThan">
      <formula>150000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6304-2DCA-438A-88D4-675E1860F6DA}">
  <dimension ref="A1:B5"/>
  <sheetViews>
    <sheetView workbookViewId="0">
      <selection sqref="A1:B1"/>
    </sheetView>
  </sheetViews>
  <sheetFormatPr defaultRowHeight="14.4" x14ac:dyDescent="0.3"/>
  <cols>
    <col min="1" max="1" width="15.77734375" customWidth="1"/>
    <col min="2" max="2" width="89.77734375" customWidth="1"/>
    <col min="3" max="3" width="9" customWidth="1"/>
  </cols>
  <sheetData>
    <row r="1" spans="1:2" x14ac:dyDescent="0.3">
      <c r="A1" s="28" t="s">
        <v>48</v>
      </c>
      <c r="B1" s="28" t="s">
        <v>72</v>
      </c>
    </row>
    <row r="2" spans="1:2" ht="28.8" customHeight="1" x14ac:dyDescent="0.3">
      <c r="A2" s="27" t="s">
        <v>30</v>
      </c>
      <c r="B2" s="27" t="s">
        <v>73</v>
      </c>
    </row>
    <row r="3" spans="1:2" ht="28.8" customHeight="1" x14ac:dyDescent="0.3">
      <c r="A3" s="27" t="s">
        <v>74</v>
      </c>
      <c r="B3" s="27" t="s">
        <v>75</v>
      </c>
    </row>
    <row r="4" spans="1:2" ht="28.8" customHeight="1" x14ac:dyDescent="0.3">
      <c r="A4" s="27" t="s">
        <v>35</v>
      </c>
      <c r="B4" s="27" t="s">
        <v>76</v>
      </c>
    </row>
    <row r="5" spans="1:2" x14ac:dyDescent="0.3">
      <c r="A5" s="27" t="s">
        <v>34</v>
      </c>
      <c r="B5" s="27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60B8-2E3D-442A-B368-8472AB8BFF81}">
  <dimension ref="A1:C6"/>
  <sheetViews>
    <sheetView workbookViewId="0">
      <selection sqref="A1:C6"/>
    </sheetView>
  </sheetViews>
  <sheetFormatPr defaultRowHeight="14.4" x14ac:dyDescent="0.3"/>
  <cols>
    <col min="1" max="1" width="12.88671875" customWidth="1"/>
    <col min="2" max="2" width="22.5546875" customWidth="1"/>
    <col min="3" max="3" width="32.5546875" customWidth="1"/>
  </cols>
  <sheetData>
    <row r="1" spans="1:3" x14ac:dyDescent="0.3">
      <c r="A1" s="30" t="s">
        <v>65</v>
      </c>
      <c r="B1" s="30" t="s">
        <v>78</v>
      </c>
      <c r="C1" s="30" t="s">
        <v>79</v>
      </c>
    </row>
    <row r="2" spans="1:3" x14ac:dyDescent="0.3">
      <c r="A2" s="6" t="s">
        <v>70</v>
      </c>
      <c r="B2" s="31">
        <v>46032</v>
      </c>
      <c r="C2" s="32">
        <v>75000</v>
      </c>
    </row>
    <row r="3" spans="1:3" x14ac:dyDescent="0.3">
      <c r="A3" s="6" t="s">
        <v>68</v>
      </c>
      <c r="B3" s="31">
        <v>46027</v>
      </c>
      <c r="C3" s="32">
        <v>98000</v>
      </c>
    </row>
    <row r="4" spans="1:3" x14ac:dyDescent="0.3">
      <c r="A4" s="6" t="s">
        <v>67</v>
      </c>
      <c r="B4" s="31">
        <v>46096</v>
      </c>
      <c r="C4" s="32">
        <v>125000</v>
      </c>
    </row>
    <row r="5" spans="1:3" x14ac:dyDescent="0.3">
      <c r="A5" s="6" t="s">
        <v>69</v>
      </c>
      <c r="B5" s="31">
        <v>46075</v>
      </c>
      <c r="C5" s="32">
        <v>156000</v>
      </c>
    </row>
    <row r="6" spans="1:3" x14ac:dyDescent="0.3">
      <c r="A6" s="6" t="s">
        <v>71</v>
      </c>
      <c r="B6" s="31">
        <v>46109</v>
      </c>
      <c r="C6" s="32">
        <v>210000</v>
      </c>
    </row>
  </sheetData>
  <sortState xmlns:xlrd2="http://schemas.microsoft.com/office/spreadsheetml/2017/richdata2" ref="A2:C6">
    <sortCondition ref="C2:C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8589-A4F2-485E-9762-36917115C4DC}">
  <dimension ref="A1:C6"/>
  <sheetViews>
    <sheetView workbookViewId="0">
      <selection activeCell="B2" sqref="B2"/>
    </sheetView>
  </sheetViews>
  <sheetFormatPr defaultRowHeight="14.4" x14ac:dyDescent="0.3"/>
  <cols>
    <col min="1" max="1" width="20.6640625" customWidth="1"/>
    <col min="2" max="2" width="27.33203125" customWidth="1"/>
    <col min="3" max="3" width="22.44140625" customWidth="1"/>
  </cols>
  <sheetData>
    <row r="1" spans="1:3" x14ac:dyDescent="0.3">
      <c r="A1" s="30" t="s">
        <v>65</v>
      </c>
      <c r="B1" s="30" t="s">
        <v>79</v>
      </c>
      <c r="C1" s="30" t="s">
        <v>80</v>
      </c>
    </row>
    <row r="2" spans="1:3" x14ac:dyDescent="0.3">
      <c r="A2" s="6" t="s">
        <v>69</v>
      </c>
      <c r="B2" s="33">
        <v>156000</v>
      </c>
      <c r="C2" s="6" t="s">
        <v>83</v>
      </c>
    </row>
    <row r="3" spans="1:3" x14ac:dyDescent="0.3">
      <c r="A3" s="6" t="s">
        <v>71</v>
      </c>
      <c r="B3" s="33">
        <v>210000</v>
      </c>
      <c r="C3" s="6" t="s">
        <v>83</v>
      </c>
    </row>
    <row r="4" spans="1:3" x14ac:dyDescent="0.3">
      <c r="A4" s="6" t="s">
        <v>67</v>
      </c>
      <c r="B4" s="35">
        <v>125000</v>
      </c>
      <c r="C4" s="6" t="s">
        <v>81</v>
      </c>
    </row>
    <row r="5" spans="1:3" x14ac:dyDescent="0.3">
      <c r="A5" s="6" t="s">
        <v>68</v>
      </c>
      <c r="B5" s="34">
        <v>98000</v>
      </c>
      <c r="C5" s="6" t="s">
        <v>82</v>
      </c>
    </row>
    <row r="6" spans="1:3" x14ac:dyDescent="0.3">
      <c r="A6" s="6" t="s">
        <v>70</v>
      </c>
      <c r="B6" s="34">
        <v>75000</v>
      </c>
      <c r="C6" s="6" t="s">
        <v>82</v>
      </c>
    </row>
  </sheetData>
  <sortState xmlns:xlrd2="http://schemas.microsoft.com/office/spreadsheetml/2017/richdata2" ref="A2:C6">
    <sortCondition sortBy="cellColor" ref="B2:B6" dxfId="7"/>
    <sortCondition sortBy="cellColor" ref="B2:B6" dxfId="6"/>
    <sortCondition sortBy="cellColor" ref="B2:B6" dxfId="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19A4-2543-459C-8421-F926F7B71E6C}">
  <dimension ref="A1:D10"/>
  <sheetViews>
    <sheetView workbookViewId="0">
      <selection activeCell="A10" sqref="A10"/>
    </sheetView>
  </sheetViews>
  <sheetFormatPr defaultRowHeight="14.4" x14ac:dyDescent="0.3"/>
  <cols>
    <col min="1" max="1" width="17.44140625" customWidth="1"/>
    <col min="2" max="2" width="22.44140625" customWidth="1"/>
    <col min="3" max="3" width="21.88671875" customWidth="1"/>
    <col min="4" max="4" width="14.6640625" customWidth="1"/>
  </cols>
  <sheetData>
    <row r="1" spans="1:4" ht="15.6" x14ac:dyDescent="0.3">
      <c r="A1" s="37" t="s">
        <v>84</v>
      </c>
      <c r="B1" s="38" t="s">
        <v>85</v>
      </c>
      <c r="C1" s="38" t="s">
        <v>86</v>
      </c>
      <c r="D1" s="38" t="s">
        <v>87</v>
      </c>
    </row>
    <row r="2" spans="1:4" x14ac:dyDescent="0.3">
      <c r="A2" s="39" t="s">
        <v>88</v>
      </c>
      <c r="B2" s="40">
        <v>46027.375</v>
      </c>
      <c r="C2" s="40">
        <v>46027.479166666664</v>
      </c>
      <c r="D2" s="42">
        <f>C2-B2</f>
        <v>0.10416666666424135</v>
      </c>
    </row>
    <row r="3" spans="1:4" x14ac:dyDescent="0.3">
      <c r="A3" s="41" t="s">
        <v>89</v>
      </c>
      <c r="B3" s="40">
        <v>46032.416666666664</v>
      </c>
      <c r="C3" s="40">
        <v>46034.625</v>
      </c>
      <c r="D3" s="42">
        <f>C3-B3</f>
        <v>2.2083333333357587</v>
      </c>
    </row>
    <row r="4" spans="1:4" x14ac:dyDescent="0.3">
      <c r="A4" s="41" t="s">
        <v>90</v>
      </c>
      <c r="B4" s="40">
        <v>45672.375</v>
      </c>
      <c r="C4" s="40">
        <v>46101.708333333336</v>
      </c>
      <c r="D4" s="42">
        <f t="shared" ref="D4:D5" si="0">C4-B4</f>
        <v>429.33333333333576</v>
      </c>
    </row>
    <row r="5" spans="1:4" x14ac:dyDescent="0.3">
      <c r="A5" s="41" t="s">
        <v>91</v>
      </c>
      <c r="B5" s="40">
        <v>46054.583333333336</v>
      </c>
      <c r="C5" s="40">
        <v>46058.6875</v>
      </c>
      <c r="D5" s="42">
        <f t="shared" si="0"/>
        <v>4.1041666666642413</v>
      </c>
    </row>
    <row r="6" spans="1:4" x14ac:dyDescent="0.3">
      <c r="A6" s="36"/>
    </row>
    <row r="7" spans="1:4" x14ac:dyDescent="0.3">
      <c r="A7" s="36"/>
    </row>
    <row r="8" spans="1:4" x14ac:dyDescent="0.3">
      <c r="A8" s="36" t="s">
        <v>92</v>
      </c>
      <c r="B8" s="29">
        <f ca="1">TODAY()</f>
        <v>46301</v>
      </c>
    </row>
    <row r="9" spans="1:4" x14ac:dyDescent="0.3">
      <c r="A9" s="36" t="s">
        <v>93</v>
      </c>
      <c r="B9" s="29">
        <f>DATE(2026,8,15)</f>
        <v>46249</v>
      </c>
    </row>
    <row r="10" spans="1:4" x14ac:dyDescent="0.3">
      <c r="A10" s="36"/>
      <c r="B10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DB6C-4961-4D4A-8975-F24365830DD8}">
  <dimension ref="A1:I6"/>
  <sheetViews>
    <sheetView workbookViewId="0">
      <selection activeCell="E6" sqref="E6"/>
    </sheetView>
  </sheetViews>
  <sheetFormatPr defaultRowHeight="14.4" x14ac:dyDescent="0.3"/>
  <cols>
    <col min="1" max="1" width="20.6640625" customWidth="1"/>
    <col min="2" max="2" width="21.5546875" customWidth="1"/>
    <col min="3" max="3" width="14.88671875" customWidth="1"/>
    <col min="4" max="4" width="18.109375" customWidth="1"/>
    <col min="5" max="5" width="13.88671875" customWidth="1"/>
    <col min="8" max="8" width="18.109375" customWidth="1"/>
  </cols>
  <sheetData>
    <row r="1" spans="1:9" x14ac:dyDescent="0.3">
      <c r="A1" s="30" t="s">
        <v>65</v>
      </c>
      <c r="B1" s="30" t="s">
        <v>23</v>
      </c>
      <c r="C1" s="30" t="s">
        <v>66</v>
      </c>
      <c r="D1" s="30" t="s">
        <v>94</v>
      </c>
      <c r="E1" s="30" t="s">
        <v>43</v>
      </c>
      <c r="F1" s="43" t="s">
        <v>95</v>
      </c>
      <c r="G1" s="30" t="s">
        <v>96</v>
      </c>
      <c r="H1" s="30" t="s">
        <v>97</v>
      </c>
      <c r="I1" s="30" t="s">
        <v>98</v>
      </c>
    </row>
    <row r="2" spans="1:9" x14ac:dyDescent="0.3">
      <c r="A2" s="6" t="s">
        <v>67</v>
      </c>
      <c r="B2" s="32">
        <v>125000</v>
      </c>
      <c r="C2" s="22">
        <v>0.125</v>
      </c>
      <c r="D2" s="32">
        <v>100000</v>
      </c>
      <c r="E2" s="6" t="str">
        <f>IF(B2&gt;=150000,"High","Low")</f>
        <v>Low</v>
      </c>
      <c r="F2" s="6" t="b">
        <f>AND(B2&gt;=100000,C2&gt;=10%)</f>
        <v>1</v>
      </c>
      <c r="G2" s="6" t="b">
        <f>OR(B2&gt;=150000,C2&gt;=20%)</f>
        <v>0</v>
      </c>
      <c r="H2" s="6" t="str">
        <f>IF(AND(B2&gt;=150000,C2&gt;=15%),"Excellent","Needs Improvement")</f>
        <v>Needs Improvement</v>
      </c>
      <c r="I2" s="6">
        <f>IFERROR(B2/D2,"Check Data")</f>
        <v>1.25</v>
      </c>
    </row>
    <row r="3" spans="1:9" x14ac:dyDescent="0.3">
      <c r="A3" s="6" t="s">
        <v>68</v>
      </c>
      <c r="B3" s="32">
        <v>98000</v>
      </c>
      <c r="C3" s="22">
        <v>8.7499999999999994E-2</v>
      </c>
      <c r="D3" s="32">
        <v>100000</v>
      </c>
      <c r="E3" s="6" t="str">
        <f t="shared" ref="E3:E6" si="0">IF(B3&gt;=150000,"High","Low")</f>
        <v>Low</v>
      </c>
      <c r="F3" s="6" t="b">
        <f t="shared" ref="F3:F6" si="1">AND(B3&gt;=100000,C3&gt;=10%)</f>
        <v>0</v>
      </c>
      <c r="G3" s="6" t="b">
        <f t="shared" ref="G3:G6" si="2">OR(B3&gt;=150000,C3&gt;=20%)</f>
        <v>0</v>
      </c>
      <c r="H3" s="6" t="str">
        <f t="shared" ref="H3:H6" si="3">IF(AND(B3&gt;=150000,C3&gt;=15%),"Excellent","Needs Improvement")</f>
        <v>Needs Improvement</v>
      </c>
      <c r="I3" s="6">
        <f t="shared" ref="I3:I6" si="4">IFERROR(B3/D3,"Check Data")</f>
        <v>0.98</v>
      </c>
    </row>
    <row r="4" spans="1:9" x14ac:dyDescent="0.3">
      <c r="A4" s="6" t="s">
        <v>69</v>
      </c>
      <c r="B4" s="32">
        <v>156000</v>
      </c>
      <c r="C4" s="22">
        <v>0.182</v>
      </c>
      <c r="D4" s="32">
        <v>150000</v>
      </c>
      <c r="E4" s="6" t="str">
        <f t="shared" si="0"/>
        <v>High</v>
      </c>
      <c r="F4" s="6" t="b">
        <f t="shared" si="1"/>
        <v>1</v>
      </c>
      <c r="G4" s="6" t="b">
        <f t="shared" si="2"/>
        <v>1</v>
      </c>
      <c r="H4" s="6" t="str">
        <f t="shared" si="3"/>
        <v>Excellent</v>
      </c>
      <c r="I4" s="6">
        <f t="shared" si="4"/>
        <v>1.04</v>
      </c>
    </row>
    <row r="5" spans="1:9" x14ac:dyDescent="0.3">
      <c r="A5" s="6" t="s">
        <v>70</v>
      </c>
      <c r="B5" s="32">
        <v>75000</v>
      </c>
      <c r="C5" s="22">
        <v>-5.3999999999999999E-2</v>
      </c>
      <c r="D5" s="32">
        <v>100000</v>
      </c>
      <c r="E5" s="6" t="str">
        <f t="shared" si="0"/>
        <v>Low</v>
      </c>
      <c r="F5" s="6" t="b">
        <f t="shared" si="1"/>
        <v>0</v>
      </c>
      <c r="G5" s="6" t="b">
        <f t="shared" si="2"/>
        <v>0</v>
      </c>
      <c r="H5" s="6" t="str">
        <f t="shared" si="3"/>
        <v>Needs Improvement</v>
      </c>
      <c r="I5" s="6">
        <f t="shared" si="4"/>
        <v>0.75</v>
      </c>
    </row>
    <row r="6" spans="1:9" x14ac:dyDescent="0.3">
      <c r="A6" s="6" t="s">
        <v>71</v>
      </c>
      <c r="B6" s="32">
        <v>210000</v>
      </c>
      <c r="C6" s="22">
        <v>0.221</v>
      </c>
      <c r="D6" s="32">
        <v>200000</v>
      </c>
      <c r="E6" s="6" t="str">
        <f t="shared" si="0"/>
        <v>High</v>
      </c>
      <c r="F6" s="6" t="b">
        <f t="shared" si="1"/>
        <v>1</v>
      </c>
      <c r="G6" s="6" t="b">
        <f t="shared" si="2"/>
        <v>1</v>
      </c>
      <c r="H6" s="6" t="str">
        <f t="shared" si="3"/>
        <v>Excellent</v>
      </c>
      <c r="I6" s="6">
        <f t="shared" si="4"/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DDC1-84F4-4FE6-B09D-9AE77C7AA0A9}">
  <dimension ref="A4:D9"/>
  <sheetViews>
    <sheetView topLeftCell="A4" workbookViewId="0">
      <selection activeCell="B8" sqref="B8"/>
    </sheetView>
  </sheetViews>
  <sheetFormatPr defaultRowHeight="14.4" x14ac:dyDescent="0.3"/>
  <cols>
    <col min="1" max="1" width="15.88671875" customWidth="1"/>
    <col min="2" max="2" width="13.109375" customWidth="1"/>
    <col min="3" max="3" width="12.88671875" customWidth="1"/>
    <col min="4" max="4" width="14.21875" customWidth="1"/>
  </cols>
  <sheetData>
    <row r="4" spans="1:4" x14ac:dyDescent="0.3">
      <c r="A4" s="30" t="s">
        <v>99</v>
      </c>
      <c r="B4" s="30" t="s">
        <v>100</v>
      </c>
      <c r="C4" s="30" t="s">
        <v>23</v>
      </c>
      <c r="D4" s="30" t="s">
        <v>101</v>
      </c>
    </row>
    <row r="5" spans="1:4" x14ac:dyDescent="0.3">
      <c r="A5" s="6">
        <v>101</v>
      </c>
      <c r="B5" s="6" t="s">
        <v>102</v>
      </c>
      <c r="C5" s="6">
        <v>125000</v>
      </c>
      <c r="D5" s="6" t="s">
        <v>103</v>
      </c>
    </row>
    <row r="6" spans="1:4" x14ac:dyDescent="0.3">
      <c r="A6" s="6">
        <v>102</v>
      </c>
      <c r="B6" s="6" t="s">
        <v>104</v>
      </c>
      <c r="C6" s="6">
        <v>98000</v>
      </c>
      <c r="D6" s="6" t="s">
        <v>103</v>
      </c>
    </row>
    <row r="7" spans="1:4" x14ac:dyDescent="0.3">
      <c r="A7" s="6">
        <v>103</v>
      </c>
      <c r="B7" s="6" t="s">
        <v>105</v>
      </c>
      <c r="C7" s="6">
        <v>156000</v>
      </c>
      <c r="D7" s="6" t="s">
        <v>103</v>
      </c>
    </row>
    <row r="8" spans="1:4" x14ac:dyDescent="0.3">
      <c r="A8" s="6">
        <v>104</v>
      </c>
      <c r="B8" s="6" t="s">
        <v>106</v>
      </c>
      <c r="C8" s="6" t="e">
        <v>#VALUE!</v>
      </c>
      <c r="D8" s="6" t="s">
        <v>107</v>
      </c>
    </row>
    <row r="9" spans="1:4" x14ac:dyDescent="0.3">
      <c r="A9" s="6">
        <v>105</v>
      </c>
      <c r="B9" s="6" t="s">
        <v>108</v>
      </c>
      <c r="C9" s="6">
        <v>210000</v>
      </c>
      <c r="D9" s="6" t="s">
        <v>103</v>
      </c>
    </row>
  </sheetData>
  <autoFilter ref="A4:D9" xr:uid="{F6A8DDC1-84F4-4FE6-B09D-9AE77C7AA0A9}"/>
  <conditionalFormatting sqref="A4:B9">
    <cfRule type="duplicateValues" dxfId="3" priority="2"/>
    <cfRule type="duplicateValues" dxfId="2" priority="3"/>
  </conditionalFormatting>
  <conditionalFormatting sqref="C4:D9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345D-FBB3-49AF-91B1-5B5A9D06FDA7}">
  <dimension ref="A1:N19"/>
  <sheetViews>
    <sheetView topLeftCell="A2" workbookViewId="0">
      <selection activeCell="H8" sqref="H8"/>
    </sheetView>
  </sheetViews>
  <sheetFormatPr defaultRowHeight="14.4" x14ac:dyDescent="0.3"/>
  <cols>
    <col min="1" max="1" width="13.33203125" customWidth="1"/>
    <col min="2" max="2" width="16.88671875" customWidth="1"/>
    <col min="3" max="3" width="17" customWidth="1"/>
    <col min="4" max="4" width="15.21875" customWidth="1"/>
    <col min="5" max="5" width="13.88671875" customWidth="1"/>
    <col min="8" max="8" width="19.21875" bestFit="1" customWidth="1"/>
    <col min="9" max="9" width="15.5546875" bestFit="1" customWidth="1"/>
    <col min="10" max="11" width="8" bestFit="1" customWidth="1"/>
    <col min="12" max="13" width="9.5546875" bestFit="1" customWidth="1"/>
    <col min="14" max="14" width="10.77734375" bestFit="1" customWidth="1"/>
  </cols>
  <sheetData>
    <row r="1" spans="1:14" x14ac:dyDescent="0.3">
      <c r="A1" s="30" t="s">
        <v>109</v>
      </c>
      <c r="B1" s="30" t="s">
        <v>48</v>
      </c>
      <c r="C1" s="30" t="s">
        <v>110</v>
      </c>
      <c r="D1" s="30" t="s">
        <v>65</v>
      </c>
      <c r="E1" s="30" t="s">
        <v>79</v>
      </c>
      <c r="H1" s="45" t="s">
        <v>110</v>
      </c>
      <c r="I1" t="s">
        <v>119</v>
      </c>
    </row>
    <row r="2" spans="1:14" x14ac:dyDescent="0.3">
      <c r="A2" s="44">
        <v>46027</v>
      </c>
      <c r="B2" s="6" t="s">
        <v>30</v>
      </c>
      <c r="C2" s="6" t="s">
        <v>111</v>
      </c>
      <c r="D2" s="6" t="s">
        <v>67</v>
      </c>
      <c r="E2" s="32">
        <v>75000</v>
      </c>
    </row>
    <row r="3" spans="1:14" x14ac:dyDescent="0.3">
      <c r="A3" s="44">
        <v>46032</v>
      </c>
      <c r="B3" s="6" t="s">
        <v>74</v>
      </c>
      <c r="C3" s="6" t="s">
        <v>111</v>
      </c>
      <c r="D3" s="6" t="s">
        <v>68</v>
      </c>
      <c r="E3" s="32">
        <v>45000</v>
      </c>
      <c r="H3" s="45" t="s">
        <v>118</v>
      </c>
      <c r="I3" s="45" t="s">
        <v>117</v>
      </c>
    </row>
    <row r="4" spans="1:14" x14ac:dyDescent="0.3">
      <c r="A4" s="44">
        <v>46037</v>
      </c>
      <c r="B4" s="6" t="s">
        <v>112</v>
      </c>
      <c r="C4" s="6" t="s">
        <v>113</v>
      </c>
      <c r="D4" s="6" t="s">
        <v>69</v>
      </c>
      <c r="E4" s="32">
        <v>18000</v>
      </c>
      <c r="H4" s="45" t="s">
        <v>115</v>
      </c>
      <c r="I4" t="s">
        <v>69</v>
      </c>
      <c r="J4" t="s">
        <v>71</v>
      </c>
      <c r="K4" t="s">
        <v>68</v>
      </c>
      <c r="L4" t="s">
        <v>67</v>
      </c>
      <c r="M4" t="s">
        <v>70</v>
      </c>
      <c r="N4" t="s">
        <v>116</v>
      </c>
    </row>
    <row r="5" spans="1:14" x14ac:dyDescent="0.3">
      <c r="A5" s="44">
        <v>46075</v>
      </c>
      <c r="B5" s="6" t="s">
        <v>30</v>
      </c>
      <c r="C5" s="6" t="s">
        <v>111</v>
      </c>
      <c r="D5" s="6" t="s">
        <v>70</v>
      </c>
      <c r="E5" s="32">
        <v>80000</v>
      </c>
      <c r="H5" s="46" t="s">
        <v>112</v>
      </c>
      <c r="I5" s="5">
        <v>18000</v>
      </c>
      <c r="J5" s="5"/>
      <c r="K5" s="5">
        <v>20000</v>
      </c>
      <c r="L5" s="5"/>
      <c r="M5" s="5"/>
      <c r="N5" s="5">
        <v>38000</v>
      </c>
    </row>
    <row r="6" spans="1:14" x14ac:dyDescent="0.3">
      <c r="A6" s="44">
        <v>46081</v>
      </c>
      <c r="B6" s="6" t="s">
        <v>114</v>
      </c>
      <c r="C6" s="6" t="s">
        <v>113</v>
      </c>
      <c r="D6" s="6" t="s">
        <v>71</v>
      </c>
      <c r="E6" s="32">
        <v>25000</v>
      </c>
      <c r="H6" s="47" t="s">
        <v>120</v>
      </c>
      <c r="I6" s="5">
        <v>18000</v>
      </c>
      <c r="J6" s="5"/>
      <c r="K6" s="5"/>
      <c r="L6" s="5"/>
      <c r="M6" s="5"/>
      <c r="N6" s="5">
        <v>18000</v>
      </c>
    </row>
    <row r="7" spans="1:14" x14ac:dyDescent="0.3">
      <c r="A7" s="44">
        <v>46086</v>
      </c>
      <c r="B7" s="6" t="s">
        <v>74</v>
      </c>
      <c r="C7" s="6" t="s">
        <v>111</v>
      </c>
      <c r="D7" s="6" t="s">
        <v>67</v>
      </c>
      <c r="E7" s="32">
        <v>52000</v>
      </c>
      <c r="H7" s="47" t="s">
        <v>121</v>
      </c>
      <c r="I7" s="5"/>
      <c r="J7" s="5"/>
      <c r="K7" s="5">
        <v>20000</v>
      </c>
      <c r="L7" s="5"/>
      <c r="M7" s="5"/>
      <c r="N7" s="5">
        <v>20000</v>
      </c>
    </row>
    <row r="8" spans="1:14" x14ac:dyDescent="0.3">
      <c r="A8" s="44">
        <v>46093</v>
      </c>
      <c r="B8" s="6" t="s">
        <v>112</v>
      </c>
      <c r="C8" s="6" t="s">
        <v>113</v>
      </c>
      <c r="D8" s="6" t="s">
        <v>68</v>
      </c>
      <c r="E8" s="32">
        <v>20000</v>
      </c>
      <c r="H8" s="46" t="s">
        <v>114</v>
      </c>
      <c r="I8" s="5"/>
      <c r="J8" s="5">
        <v>25000</v>
      </c>
      <c r="K8" s="5"/>
      <c r="L8" s="5"/>
      <c r="M8" s="5">
        <v>28000</v>
      </c>
      <c r="N8" s="5">
        <v>53000</v>
      </c>
    </row>
    <row r="9" spans="1:14" x14ac:dyDescent="0.3">
      <c r="A9" s="44">
        <v>46132</v>
      </c>
      <c r="B9" s="6" t="s">
        <v>30</v>
      </c>
      <c r="C9" s="6" t="s">
        <v>111</v>
      </c>
      <c r="D9" s="6" t="s">
        <v>69</v>
      </c>
      <c r="E9" s="32">
        <v>90000</v>
      </c>
      <c r="H9" s="47" t="s">
        <v>122</v>
      </c>
      <c r="I9" s="5"/>
      <c r="J9" s="5">
        <v>25000</v>
      </c>
      <c r="K9" s="5"/>
      <c r="L9" s="5"/>
      <c r="M9" s="5"/>
      <c r="N9" s="5">
        <v>25000</v>
      </c>
    </row>
    <row r="10" spans="1:14" x14ac:dyDescent="0.3">
      <c r="A10" s="44">
        <v>46150</v>
      </c>
      <c r="B10" s="6" t="s">
        <v>114</v>
      </c>
      <c r="C10" s="6" t="s">
        <v>113</v>
      </c>
      <c r="D10" s="6" t="s">
        <v>70</v>
      </c>
      <c r="E10" s="32">
        <v>28000</v>
      </c>
      <c r="H10" s="47" t="s">
        <v>3</v>
      </c>
      <c r="I10" s="5"/>
      <c r="J10" s="5"/>
      <c r="K10" s="5"/>
      <c r="L10" s="5"/>
      <c r="M10" s="5">
        <v>28000</v>
      </c>
      <c r="N10" s="5">
        <v>28000</v>
      </c>
    </row>
    <row r="11" spans="1:14" x14ac:dyDescent="0.3">
      <c r="A11" s="44">
        <v>46157</v>
      </c>
      <c r="B11" s="6" t="s">
        <v>74</v>
      </c>
      <c r="C11" s="6" t="s">
        <v>111</v>
      </c>
      <c r="D11" s="6" t="s">
        <v>71</v>
      </c>
      <c r="E11" s="32">
        <v>55000</v>
      </c>
      <c r="H11" s="46" t="s">
        <v>30</v>
      </c>
      <c r="I11" s="5">
        <v>90000</v>
      </c>
      <c r="J11" s="5"/>
      <c r="K11" s="5"/>
      <c r="L11" s="5">
        <v>75000</v>
      </c>
      <c r="M11" s="5">
        <v>80000</v>
      </c>
      <c r="N11" s="5">
        <v>245000</v>
      </c>
    </row>
    <row r="12" spans="1:14" x14ac:dyDescent="0.3">
      <c r="H12" s="47" t="s">
        <v>120</v>
      </c>
      <c r="I12" s="5"/>
      <c r="J12" s="5"/>
      <c r="K12" s="5"/>
      <c r="L12" s="5">
        <v>75000</v>
      </c>
      <c r="M12" s="5"/>
      <c r="N12" s="5">
        <v>75000</v>
      </c>
    </row>
    <row r="13" spans="1:14" x14ac:dyDescent="0.3">
      <c r="H13" s="47" t="s">
        <v>122</v>
      </c>
      <c r="I13" s="5"/>
      <c r="J13" s="5"/>
      <c r="K13" s="5"/>
      <c r="L13" s="5"/>
      <c r="M13" s="5">
        <v>80000</v>
      </c>
      <c r="N13" s="5">
        <v>80000</v>
      </c>
    </row>
    <row r="14" spans="1:14" x14ac:dyDescent="0.3">
      <c r="H14" s="47" t="s">
        <v>123</v>
      </c>
      <c r="I14" s="5">
        <v>90000</v>
      </c>
      <c r="J14" s="5"/>
      <c r="K14" s="5"/>
      <c r="L14" s="5"/>
      <c r="M14" s="5"/>
      <c r="N14" s="5">
        <v>90000</v>
      </c>
    </row>
    <row r="15" spans="1:14" x14ac:dyDescent="0.3">
      <c r="H15" s="46" t="s">
        <v>74</v>
      </c>
      <c r="I15" s="5"/>
      <c r="J15" s="5">
        <v>55000</v>
      </c>
      <c r="K15" s="5">
        <v>45000</v>
      </c>
      <c r="L15" s="5">
        <v>52000</v>
      </c>
      <c r="M15" s="5"/>
      <c r="N15" s="5">
        <v>152000</v>
      </c>
    </row>
    <row r="16" spans="1:14" x14ac:dyDescent="0.3">
      <c r="H16" s="47" t="s">
        <v>120</v>
      </c>
      <c r="I16" s="5"/>
      <c r="J16" s="5"/>
      <c r="K16" s="5">
        <v>45000</v>
      </c>
      <c r="L16" s="5"/>
      <c r="M16" s="5"/>
      <c r="N16" s="5">
        <v>45000</v>
      </c>
    </row>
    <row r="17" spans="8:14" x14ac:dyDescent="0.3">
      <c r="H17" s="47" t="s">
        <v>121</v>
      </c>
      <c r="I17" s="5"/>
      <c r="J17" s="5"/>
      <c r="K17" s="5"/>
      <c r="L17" s="5">
        <v>52000</v>
      </c>
      <c r="M17" s="5"/>
      <c r="N17" s="5">
        <v>52000</v>
      </c>
    </row>
    <row r="18" spans="8:14" x14ac:dyDescent="0.3">
      <c r="H18" s="47" t="s">
        <v>3</v>
      </c>
      <c r="I18" s="5"/>
      <c r="J18" s="5">
        <v>55000</v>
      </c>
      <c r="K18" s="5"/>
      <c r="L18" s="5"/>
      <c r="M18" s="5"/>
      <c r="N18" s="5">
        <v>55000</v>
      </c>
    </row>
    <row r="19" spans="8:14" x14ac:dyDescent="0.3">
      <c r="H19" s="46" t="s">
        <v>116</v>
      </c>
      <c r="I19" s="5">
        <v>108000</v>
      </c>
      <c r="J19" s="5">
        <v>80000</v>
      </c>
      <c r="K19" s="5">
        <v>65000</v>
      </c>
      <c r="L19" s="5">
        <v>127000</v>
      </c>
      <c r="M19" s="5">
        <v>108000</v>
      </c>
      <c r="N19" s="5">
        <v>488000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B93D-0ABE-46D4-B5AC-50463D6EFDDC}">
  <dimension ref="A1:I11"/>
  <sheetViews>
    <sheetView tabSelected="1" workbookViewId="0">
      <selection activeCell="H12" sqref="H12"/>
    </sheetView>
  </sheetViews>
  <sheetFormatPr defaultRowHeight="14.4" x14ac:dyDescent="0.3"/>
  <cols>
    <col min="1" max="1" width="15.109375" customWidth="1"/>
    <col min="2" max="2" width="17.6640625" customWidth="1"/>
    <col min="3" max="3" width="14" customWidth="1"/>
    <col min="4" max="4" width="15.109375" customWidth="1"/>
    <col min="7" max="7" width="11.109375" customWidth="1"/>
  </cols>
  <sheetData>
    <row r="1" spans="1:9" x14ac:dyDescent="0.3">
      <c r="A1" s="30" t="s">
        <v>48</v>
      </c>
      <c r="B1" s="30" t="s">
        <v>124</v>
      </c>
      <c r="C1" s="30" t="s">
        <v>110</v>
      </c>
      <c r="D1" s="30" t="s">
        <v>79</v>
      </c>
      <c r="E1" s="30" t="s">
        <v>128</v>
      </c>
      <c r="F1" s="30" t="s">
        <v>129</v>
      </c>
      <c r="G1" s="30" t="s">
        <v>130</v>
      </c>
      <c r="H1" s="30" t="s">
        <v>131</v>
      </c>
      <c r="I1" s="30" t="s">
        <v>132</v>
      </c>
    </row>
    <row r="2" spans="1:9" x14ac:dyDescent="0.3">
      <c r="A2" s="6" t="s">
        <v>30</v>
      </c>
      <c r="B2" s="6" t="s">
        <v>125</v>
      </c>
      <c r="C2" s="6" t="s">
        <v>111</v>
      </c>
      <c r="D2" s="32">
        <v>75000</v>
      </c>
      <c r="E2" s="6">
        <f>COUNTIF(D2:$D$11,"&gt;50000")</f>
        <v>5</v>
      </c>
      <c r="F2" s="6">
        <f>SUMIF(A2:A11,"Laptop",D2:D11)</f>
        <v>245000</v>
      </c>
      <c r="G2" s="48">
        <f>AVERAGEIF(C2:$C$11,"Electronics",D2:$D$11)</f>
        <v>66166.666666666672</v>
      </c>
      <c r="H2" s="6">
        <f>COUNTIFS(A2:$A$11,"Laptop",B2:$B$11,"South")</f>
        <v>1</v>
      </c>
      <c r="I2" s="6">
        <f>SUMIFS(D2:$D$11,A2:$A$11,"Laptop",B2:$B$11,"South")</f>
        <v>80000</v>
      </c>
    </row>
    <row r="3" spans="1:9" x14ac:dyDescent="0.3">
      <c r="A3" s="6" t="s">
        <v>74</v>
      </c>
      <c r="B3" s="6" t="s">
        <v>126</v>
      </c>
      <c r="C3" s="6" t="s">
        <v>111</v>
      </c>
      <c r="D3" s="32">
        <v>45000</v>
      </c>
      <c r="E3" s="6">
        <f>COUNTIF(D3:$D$11,"&gt;50000")</f>
        <v>4</v>
      </c>
      <c r="F3" s="6">
        <f t="shared" ref="F3:F11" si="0">SUMIF(A3:A12,"Laptop",D3:D12)</f>
        <v>170000</v>
      </c>
      <c r="G3" s="48">
        <f>AVERAGEIF(C3:$C$11,"Electronics",D3:$D$11)</f>
        <v>64400</v>
      </c>
      <c r="H3" s="6">
        <f>COUNTIFS(A3:$A$11,"Laptop",B3:$B$11,"South")</f>
        <v>1</v>
      </c>
      <c r="I3" s="6">
        <f>SUMIFS(D3:$D$11,A3:$A$11,"Laptop",B3:$B$11,"South")</f>
        <v>80000</v>
      </c>
    </row>
    <row r="4" spans="1:9" x14ac:dyDescent="0.3">
      <c r="A4" s="6" t="s">
        <v>30</v>
      </c>
      <c r="B4" s="6" t="s">
        <v>126</v>
      </c>
      <c r="C4" s="6" t="s">
        <v>111</v>
      </c>
      <c r="D4" s="32">
        <v>80000</v>
      </c>
      <c r="E4" s="6">
        <f>COUNTIF(D4:$D$11,"&gt;50000")</f>
        <v>4</v>
      </c>
      <c r="F4" s="6">
        <f t="shared" si="0"/>
        <v>170000</v>
      </c>
      <c r="G4" s="48">
        <f>AVERAGEIF(C4:$C$11,"Electronics",D4:$D$11)</f>
        <v>69250</v>
      </c>
      <c r="H4" s="6">
        <f>COUNTIFS(A4:$A$11,"Laptop",B4:$B$11,"South")</f>
        <v>1</v>
      </c>
      <c r="I4" s="6">
        <f>SUMIFS(D4:$D$11,A4:$A$11,"Laptop",B4:$B$11,"South")</f>
        <v>80000</v>
      </c>
    </row>
    <row r="5" spans="1:9" x14ac:dyDescent="0.3">
      <c r="A5" s="6" t="s">
        <v>112</v>
      </c>
      <c r="B5" s="6" t="s">
        <v>125</v>
      </c>
      <c r="C5" s="6" t="s">
        <v>113</v>
      </c>
      <c r="D5" s="32">
        <v>18000</v>
      </c>
      <c r="E5" s="6">
        <f>COUNTIF(D5:$D$11,"&gt;50000")</f>
        <v>3</v>
      </c>
      <c r="F5" s="6">
        <f t="shared" si="0"/>
        <v>90000</v>
      </c>
      <c r="G5" s="48">
        <f>AVERAGEIF(C5:$C$11,"Electronics",D5:$D$11)</f>
        <v>65666.666666666672</v>
      </c>
      <c r="H5" s="6">
        <f>COUNTIFS(A5:$A$11,"Laptop",B5:$B$11,"South")</f>
        <v>0</v>
      </c>
      <c r="I5" s="6">
        <f>SUMIFS(D5:$D$11,A5:$A$11,"Laptop",B5:$B$11,"South")</f>
        <v>0</v>
      </c>
    </row>
    <row r="6" spans="1:9" x14ac:dyDescent="0.3">
      <c r="A6" s="6" t="s">
        <v>114</v>
      </c>
      <c r="B6" s="6" t="s">
        <v>127</v>
      </c>
      <c r="C6" s="6" t="s">
        <v>113</v>
      </c>
      <c r="D6" s="32">
        <v>25000</v>
      </c>
      <c r="E6" s="6">
        <f>COUNTIF(D6:$D$11,"&gt;50000")</f>
        <v>3</v>
      </c>
      <c r="F6" s="6">
        <f t="shared" si="0"/>
        <v>90000</v>
      </c>
      <c r="G6" s="48">
        <f>AVERAGEIF(C6:$C$11,"Electronics",D6:$D$11)</f>
        <v>65666.666666666672</v>
      </c>
      <c r="H6" s="6">
        <f>COUNTIFS(A6:$A$11,"Laptop",B6:$B$11,"South")</f>
        <v>0</v>
      </c>
      <c r="I6" s="6">
        <f>SUMIFS(D6:$D$11,A6:$A$11,"Laptop",B6:$B$11,"South")</f>
        <v>0</v>
      </c>
    </row>
    <row r="7" spans="1:9" x14ac:dyDescent="0.3">
      <c r="A7" s="6" t="s">
        <v>74</v>
      </c>
      <c r="B7" s="6" t="s">
        <v>125</v>
      </c>
      <c r="C7" s="6" t="s">
        <v>111</v>
      </c>
      <c r="D7" s="32">
        <v>52000</v>
      </c>
      <c r="E7" s="6">
        <f>COUNTIF(D7:$D$11,"&gt;50000")</f>
        <v>3</v>
      </c>
      <c r="F7" s="6">
        <f t="shared" si="0"/>
        <v>90000</v>
      </c>
      <c r="G7" s="48">
        <f>AVERAGEIF(C7:$C$11,"Electronics",D7:$D$11)</f>
        <v>65666.666666666672</v>
      </c>
      <c r="H7" s="6">
        <f>COUNTIFS(A7:$A$11,"Laptop",B7:$B$11,"South")</f>
        <v>0</v>
      </c>
      <c r="I7" s="6">
        <f>SUMIFS(D7:$D$11,A7:$A$11,"Laptop",B7:$B$11,"South")</f>
        <v>0</v>
      </c>
    </row>
    <row r="8" spans="1:9" x14ac:dyDescent="0.3">
      <c r="A8" s="6" t="s">
        <v>112</v>
      </c>
      <c r="B8" s="6" t="s">
        <v>126</v>
      </c>
      <c r="C8" s="6" t="s">
        <v>113</v>
      </c>
      <c r="D8" s="32">
        <v>20000</v>
      </c>
      <c r="E8" s="6">
        <f>COUNTIF(D8:$D$11,"&gt;50000")</f>
        <v>2</v>
      </c>
      <c r="F8" s="6">
        <f t="shared" si="0"/>
        <v>90000</v>
      </c>
      <c r="G8" s="48">
        <f>AVERAGEIF(C8:$C$11,"Electronics",D8:$D$11)</f>
        <v>72500</v>
      </c>
      <c r="H8" s="6">
        <f>COUNTIFS(A8:$A$11,"Laptop",B8:$B$11,"South")</f>
        <v>0</v>
      </c>
      <c r="I8" s="6">
        <f>SUMIFS(D8:$D$11,A8:$A$11,"Laptop",B8:$B$11,"South")</f>
        <v>0</v>
      </c>
    </row>
    <row r="9" spans="1:9" x14ac:dyDescent="0.3">
      <c r="A9" s="6" t="s">
        <v>30</v>
      </c>
      <c r="B9" s="6" t="s">
        <v>127</v>
      </c>
      <c r="C9" s="6" t="s">
        <v>111</v>
      </c>
      <c r="D9" s="32">
        <v>90000</v>
      </c>
      <c r="E9" s="6">
        <f>COUNTIF(D9:$D$11,"&gt;50000")</f>
        <v>2</v>
      </c>
      <c r="F9" s="6">
        <f t="shared" si="0"/>
        <v>90000</v>
      </c>
      <c r="G9" s="48">
        <f>AVERAGEIF(C9:$C$11,"Electronics",D9:$D$11)</f>
        <v>72500</v>
      </c>
      <c r="H9" s="6">
        <f>COUNTIFS(A9:$A$11,"Laptop",B9:$B$11,"South")</f>
        <v>0</v>
      </c>
      <c r="I9" s="6">
        <f>SUMIFS(D9:$D$11,A9:$A$11,"Laptop",B9:$B$11,"South")</f>
        <v>0</v>
      </c>
    </row>
    <row r="10" spans="1:9" x14ac:dyDescent="0.3">
      <c r="A10" s="6" t="s">
        <v>114</v>
      </c>
      <c r="B10" s="6" t="s">
        <v>125</v>
      </c>
      <c r="C10" s="6" t="s">
        <v>113</v>
      </c>
      <c r="D10" s="32">
        <v>28000</v>
      </c>
      <c r="E10" s="6">
        <f>COUNTIF(D10:$D$11,"&gt;50000")</f>
        <v>1</v>
      </c>
      <c r="F10" s="6">
        <f t="shared" si="0"/>
        <v>0</v>
      </c>
      <c r="G10" s="48">
        <f>AVERAGEIF(C10:$C$11,"Electronics",D10:$D$11)</f>
        <v>55000</v>
      </c>
      <c r="H10" s="6">
        <f>COUNTIFS(A10:$A$11,"Laptop",B10:$B$11,"South")</f>
        <v>0</v>
      </c>
      <c r="I10" s="6">
        <f>SUMIFS(D10:$D$11,A10:$A$11,"Laptop",B10:$B$11,"South")</f>
        <v>0</v>
      </c>
    </row>
    <row r="11" spans="1:9" x14ac:dyDescent="0.3">
      <c r="A11" s="6" t="s">
        <v>74</v>
      </c>
      <c r="B11" s="6" t="s">
        <v>127</v>
      </c>
      <c r="C11" s="6" t="s">
        <v>111</v>
      </c>
      <c r="D11" s="32">
        <v>55000</v>
      </c>
      <c r="E11" s="6">
        <f>COUNTIF(D11:$D$11,"&gt;50000")</f>
        <v>1</v>
      </c>
      <c r="F11" s="6">
        <f t="shared" si="0"/>
        <v>0</v>
      </c>
      <c r="G11" s="48">
        <f>AVERAGEIF(C11:$C$11,"Electronics",D11:$D$11)</f>
        <v>55000</v>
      </c>
      <c r="H11" s="6">
        <f>COUNTIFS(A11:$A$11,"Laptop",B11:$B$11,"South")</f>
        <v>0</v>
      </c>
      <c r="I11" s="6">
        <f>SUMIFS(D11:$D$11,A11:$A$11,"Laptop",B11:$B$11,"South")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5D63-D45E-46F7-9225-35D03CD3DED5}">
  <dimension ref="A1:G21"/>
  <sheetViews>
    <sheetView topLeftCell="A5" workbookViewId="0">
      <selection activeCell="E2" sqref="E2:E21"/>
    </sheetView>
  </sheetViews>
  <sheetFormatPr defaultRowHeight="14.4" x14ac:dyDescent="0.3"/>
  <cols>
    <col min="4" max="4" width="12.33203125" customWidth="1"/>
    <col min="5" max="5" width="25.109375" customWidth="1"/>
    <col min="7" max="7" width="13.6640625" customWidth="1"/>
  </cols>
  <sheetData>
    <row r="1" spans="1:7" x14ac:dyDescent="0.3">
      <c r="A1" s="49" t="s">
        <v>133</v>
      </c>
      <c r="B1" s="49" t="s">
        <v>48</v>
      </c>
      <c r="C1" s="49" t="s">
        <v>124</v>
      </c>
      <c r="D1" s="49" t="s">
        <v>110</v>
      </c>
      <c r="E1" s="49" t="s">
        <v>79</v>
      </c>
      <c r="F1" s="49" t="s">
        <v>134</v>
      </c>
      <c r="G1" s="49" t="s">
        <v>80</v>
      </c>
    </row>
    <row r="2" spans="1:7" x14ac:dyDescent="0.3">
      <c r="A2" s="3">
        <v>1</v>
      </c>
      <c r="B2" s="3" t="s">
        <v>30</v>
      </c>
      <c r="C2" s="3" t="s">
        <v>125</v>
      </c>
      <c r="D2" s="3" t="s">
        <v>111</v>
      </c>
      <c r="E2" s="50">
        <v>75000</v>
      </c>
      <c r="F2" s="3">
        <v>5</v>
      </c>
      <c r="G2" s="51">
        <v>0.85</v>
      </c>
    </row>
    <row r="3" spans="1:7" x14ac:dyDescent="0.3">
      <c r="A3" s="3">
        <v>2</v>
      </c>
      <c r="B3" s="3" t="s">
        <v>74</v>
      </c>
      <c r="C3" s="3" t="s">
        <v>126</v>
      </c>
      <c r="D3" s="3" t="s">
        <v>111</v>
      </c>
      <c r="E3" s="50">
        <v>45000</v>
      </c>
      <c r="F3" s="3">
        <v>9</v>
      </c>
      <c r="G3" s="51">
        <v>0.72</v>
      </c>
    </row>
    <row r="4" spans="1:7" x14ac:dyDescent="0.3">
      <c r="A4" s="3">
        <v>3</v>
      </c>
      <c r="B4" s="3" t="s">
        <v>30</v>
      </c>
      <c r="C4" s="3" t="s">
        <v>126</v>
      </c>
      <c r="D4" s="3" t="s">
        <v>111</v>
      </c>
      <c r="E4" s="50">
        <v>80000</v>
      </c>
      <c r="F4" s="3">
        <v>6</v>
      </c>
      <c r="G4" s="51">
        <v>0.9</v>
      </c>
    </row>
    <row r="5" spans="1:7" x14ac:dyDescent="0.3">
      <c r="A5" s="3">
        <v>4</v>
      </c>
      <c r="B5" s="3" t="s">
        <v>112</v>
      </c>
      <c r="C5" s="3" t="s">
        <v>125</v>
      </c>
      <c r="D5" s="3" t="s">
        <v>113</v>
      </c>
      <c r="E5" s="50">
        <v>18000</v>
      </c>
      <c r="F5" s="3">
        <v>12</v>
      </c>
      <c r="G5" s="51">
        <v>0.65</v>
      </c>
    </row>
    <row r="6" spans="1:7" x14ac:dyDescent="0.3">
      <c r="A6" s="3">
        <v>5</v>
      </c>
      <c r="B6" s="3" t="s">
        <v>114</v>
      </c>
      <c r="C6" s="3" t="s">
        <v>127</v>
      </c>
      <c r="D6" s="3" t="s">
        <v>113</v>
      </c>
      <c r="E6" s="50">
        <v>25000</v>
      </c>
      <c r="F6" s="3">
        <v>8</v>
      </c>
      <c r="G6" s="51">
        <v>0.7</v>
      </c>
    </row>
    <row r="7" spans="1:7" x14ac:dyDescent="0.3">
      <c r="A7" s="3">
        <v>6</v>
      </c>
      <c r="B7" s="3" t="s">
        <v>74</v>
      </c>
      <c r="C7" s="3" t="s">
        <v>125</v>
      </c>
      <c r="D7" s="3" t="s">
        <v>111</v>
      </c>
      <c r="E7" s="50">
        <v>52000</v>
      </c>
      <c r="F7" s="3">
        <v>10</v>
      </c>
      <c r="G7" s="51">
        <v>0.78</v>
      </c>
    </row>
    <row r="8" spans="1:7" x14ac:dyDescent="0.3">
      <c r="A8" s="3">
        <v>7</v>
      </c>
      <c r="B8" s="3" t="s">
        <v>112</v>
      </c>
      <c r="C8" s="3" t="s">
        <v>126</v>
      </c>
      <c r="D8" s="3" t="s">
        <v>113</v>
      </c>
      <c r="E8" s="50">
        <v>20000</v>
      </c>
      <c r="F8" s="3">
        <v>15</v>
      </c>
      <c r="G8" s="51">
        <v>0.68</v>
      </c>
    </row>
    <row r="9" spans="1:7" x14ac:dyDescent="0.3">
      <c r="A9" s="3">
        <v>8</v>
      </c>
      <c r="B9" s="3" t="s">
        <v>30</v>
      </c>
      <c r="C9" s="3" t="s">
        <v>127</v>
      </c>
      <c r="D9" s="3" t="s">
        <v>111</v>
      </c>
      <c r="E9" s="50">
        <v>90000</v>
      </c>
      <c r="F9" s="3">
        <v>7</v>
      </c>
      <c r="G9" s="51">
        <v>0.95</v>
      </c>
    </row>
    <row r="10" spans="1:7" x14ac:dyDescent="0.3">
      <c r="A10" s="3">
        <v>9</v>
      </c>
      <c r="B10" s="3" t="s">
        <v>114</v>
      </c>
      <c r="C10" s="3" t="s">
        <v>125</v>
      </c>
      <c r="D10" s="3" t="s">
        <v>113</v>
      </c>
      <c r="E10" s="50">
        <v>28000</v>
      </c>
      <c r="F10" s="3">
        <v>9</v>
      </c>
      <c r="G10" s="51">
        <v>0.75</v>
      </c>
    </row>
    <row r="11" spans="1:7" x14ac:dyDescent="0.3">
      <c r="A11" s="3">
        <v>10</v>
      </c>
      <c r="B11" s="3" t="s">
        <v>74</v>
      </c>
      <c r="C11" s="3" t="s">
        <v>127</v>
      </c>
      <c r="D11" s="3" t="s">
        <v>111</v>
      </c>
      <c r="E11" s="50">
        <v>55000</v>
      </c>
      <c r="F11" s="3">
        <v>11</v>
      </c>
      <c r="G11" s="51">
        <v>0.82</v>
      </c>
    </row>
    <row r="12" spans="1:7" x14ac:dyDescent="0.3">
      <c r="A12" s="3">
        <v>11</v>
      </c>
      <c r="B12" s="3" t="s">
        <v>33</v>
      </c>
      <c r="C12" s="3" t="s">
        <v>135</v>
      </c>
      <c r="D12" s="3" t="s">
        <v>111</v>
      </c>
      <c r="E12" s="50">
        <v>48000</v>
      </c>
      <c r="F12" s="3">
        <v>8</v>
      </c>
      <c r="G12" s="51">
        <v>0.76</v>
      </c>
    </row>
    <row r="13" spans="1:7" x14ac:dyDescent="0.3">
      <c r="A13" s="3">
        <v>12</v>
      </c>
      <c r="B13" s="3" t="s">
        <v>32</v>
      </c>
      <c r="C13" s="3" t="s">
        <v>125</v>
      </c>
      <c r="D13" s="3" t="s">
        <v>111</v>
      </c>
      <c r="E13" s="50">
        <v>12000</v>
      </c>
      <c r="F13" s="3">
        <v>20</v>
      </c>
      <c r="G13" s="51">
        <v>0.6</v>
      </c>
    </row>
    <row r="14" spans="1:7" x14ac:dyDescent="0.3">
      <c r="A14" s="3">
        <v>13</v>
      </c>
      <c r="B14" s="3" t="s">
        <v>34</v>
      </c>
      <c r="C14" s="3" t="s">
        <v>126</v>
      </c>
      <c r="D14" s="3" t="s">
        <v>111</v>
      </c>
      <c r="E14" s="50">
        <v>35000</v>
      </c>
      <c r="F14" s="3">
        <v>6</v>
      </c>
      <c r="G14" s="51">
        <v>0.73</v>
      </c>
    </row>
    <row r="15" spans="1:7" x14ac:dyDescent="0.3">
      <c r="A15" s="3">
        <v>14</v>
      </c>
      <c r="B15" s="3" t="s">
        <v>136</v>
      </c>
      <c r="C15" s="3" t="s">
        <v>127</v>
      </c>
      <c r="D15" s="3" t="s">
        <v>113</v>
      </c>
      <c r="E15" s="50">
        <v>42000</v>
      </c>
      <c r="F15" s="3">
        <v>5</v>
      </c>
      <c r="G15" s="51">
        <v>0.8</v>
      </c>
    </row>
    <row r="16" spans="1:7" x14ac:dyDescent="0.3">
      <c r="A16" s="3">
        <v>15</v>
      </c>
      <c r="B16" s="3" t="s">
        <v>30</v>
      </c>
      <c r="C16" s="3" t="s">
        <v>135</v>
      </c>
      <c r="D16" s="3" t="s">
        <v>111</v>
      </c>
      <c r="E16" s="50">
        <v>95000</v>
      </c>
      <c r="F16" s="3">
        <v>8</v>
      </c>
      <c r="G16" s="51">
        <v>0.98</v>
      </c>
    </row>
    <row r="17" spans="1:7" x14ac:dyDescent="0.3">
      <c r="A17" s="3">
        <v>16</v>
      </c>
      <c r="B17" s="3" t="s">
        <v>74</v>
      </c>
      <c r="C17" s="3" t="s">
        <v>135</v>
      </c>
      <c r="D17" s="3" t="s">
        <v>111</v>
      </c>
      <c r="E17" s="50">
        <v>62000</v>
      </c>
      <c r="F17" s="3">
        <v>13</v>
      </c>
      <c r="G17" s="51">
        <v>0.88</v>
      </c>
    </row>
    <row r="18" spans="1:7" x14ac:dyDescent="0.3">
      <c r="A18" s="3">
        <v>17</v>
      </c>
      <c r="B18" s="3" t="s">
        <v>112</v>
      </c>
      <c r="C18" s="3" t="s">
        <v>127</v>
      </c>
      <c r="D18" s="3" t="s">
        <v>113</v>
      </c>
      <c r="E18" s="50">
        <v>22000</v>
      </c>
      <c r="F18" s="3">
        <v>14</v>
      </c>
      <c r="G18" s="51">
        <v>0.69</v>
      </c>
    </row>
    <row r="19" spans="1:7" x14ac:dyDescent="0.3">
      <c r="A19" s="3">
        <v>18</v>
      </c>
      <c r="B19" s="3" t="s">
        <v>114</v>
      </c>
      <c r="C19" s="3" t="s">
        <v>126</v>
      </c>
      <c r="D19" s="3" t="s">
        <v>113</v>
      </c>
      <c r="E19" s="50">
        <v>30000</v>
      </c>
      <c r="F19" s="3">
        <v>10</v>
      </c>
      <c r="G19" s="51">
        <v>0.77</v>
      </c>
    </row>
    <row r="20" spans="1:7" x14ac:dyDescent="0.3">
      <c r="A20" s="3">
        <v>19</v>
      </c>
      <c r="B20" s="3" t="s">
        <v>33</v>
      </c>
      <c r="C20" s="3" t="s">
        <v>125</v>
      </c>
      <c r="D20" s="3" t="s">
        <v>111</v>
      </c>
      <c r="E20" s="50">
        <v>58000</v>
      </c>
      <c r="F20" s="3">
        <v>7</v>
      </c>
      <c r="G20" s="51">
        <v>0.84</v>
      </c>
    </row>
    <row r="21" spans="1:7" x14ac:dyDescent="0.3">
      <c r="A21" s="3">
        <v>20</v>
      </c>
      <c r="B21" s="3" t="s">
        <v>34</v>
      </c>
      <c r="C21" s="3" t="s">
        <v>135</v>
      </c>
      <c r="D21" s="3" t="s">
        <v>111</v>
      </c>
      <c r="E21" s="50">
        <v>40000</v>
      </c>
      <c r="F21" s="3">
        <v>5</v>
      </c>
      <c r="G21" s="51">
        <v>0.71</v>
      </c>
    </row>
  </sheetData>
  <conditionalFormatting sqref="E2:E21">
    <cfRule type="cellIs" dxfId="0" priority="4" operator="greaterThan">
      <formula>50000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{5E6BB250-07AA-410C-B5AA-E7374E4AB4E4}</x14:id>
        </ext>
      </extLst>
    </cfRule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BB250-07AA-410C-B5AA-E7374E4AB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Arithmetic Operations </vt:lpstr>
      <vt:lpstr>Transpose vs. TRANSPOSE Formula</vt:lpstr>
      <vt:lpstr> COUNTBLANK, COUNT &amp; COUNTA</vt:lpstr>
      <vt:lpstr>Calculations using Status Bar</vt:lpstr>
      <vt:lpstr>Calculating Growth Percentage Y</vt:lpstr>
      <vt:lpstr> FORMATINGS CELLS AND NUMBES</vt:lpstr>
      <vt:lpstr>Wrap Text and Alignment</vt:lpstr>
      <vt:lpstr>Sorting Numbers and Dates</vt:lpstr>
      <vt:lpstr>SORTING USING COLORS</vt:lpstr>
      <vt:lpstr>Dates in Excel and Calculating </vt:lpstr>
      <vt:lpstr> Logical Functions</vt:lpstr>
      <vt:lpstr>Practical Data Cleaning</vt:lpstr>
      <vt:lpstr>Pivot Table A-2-ZDate	Product	</vt:lpstr>
      <vt:lpstr>Conditional Aggregation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Painti Narendra</dc:creator>
  <cp:lastModifiedBy>Painti Narendra</cp:lastModifiedBy>
  <dcterms:created xsi:type="dcterms:W3CDTF">2026-09-29T08:55:00Z</dcterms:created>
  <dcterms:modified xsi:type="dcterms:W3CDTF">2026-10-06T09:46:06Z</dcterms:modified>
</cp:coreProperties>
</file>